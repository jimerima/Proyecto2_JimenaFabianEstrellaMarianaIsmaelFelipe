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  <sheet state="visible" name="JUNIO" sheetId="6" r:id="rId9"/>
    <sheet state="visible" name="JULIO" sheetId="7" r:id="rId10"/>
    <sheet state="visible" name="AGOSTO" sheetId="8" r:id="rId11"/>
    <sheet state="visible" name="SETIEMBRE" sheetId="9" r:id="rId12"/>
    <sheet state="visible" name="OCTUBRE" sheetId="10" r:id="rId13"/>
    <sheet state="visible" name="NOVIEMBRE" sheetId="11" r:id="rId14"/>
    <sheet state="visible" name="DICIEMBRE" sheetId="12" r:id="rId15"/>
  </sheets>
  <definedNames>
    <definedName localSheetId="2" name="ENE">MARZO!$A$3</definedName>
    <definedName localSheetId="10" name="ENE">NOVIEMBRE!$A$3</definedName>
    <definedName localSheetId="11" name="ENE">DICIEMBRE!$A$3</definedName>
    <definedName localSheetId="9" name="ENE">OCTUBRE!$A$3</definedName>
    <definedName localSheetId="8" name="ENE">SETIEMBRE!$A$3</definedName>
    <definedName name="MAR">#REF!</definedName>
    <definedName localSheetId="6" name="ENE">JULIO!$A$3</definedName>
    <definedName name="JUL">#REF!</definedName>
    <definedName localSheetId="3" name="ENE">ABRIL!$A$3</definedName>
    <definedName name="FormPublisherTimestamp1644iBvh7dgShC41NDWj1Nu8ry_S21pGmBtmB1ZHD8">#REF!</definedName>
    <definedName name="FEB">#REF!</definedName>
    <definedName name="ENE">ENERO!$A$3</definedName>
    <definedName name="MAY">#REF!</definedName>
    <definedName localSheetId="4" name="ENE">MAYO!$A$3</definedName>
    <definedName name="ABR">#REF!</definedName>
    <definedName localSheetId="1" name="ENE">FEBRERO!$A$3</definedName>
    <definedName localSheetId="5" name="ENE">JUNIO!$A$3</definedName>
    <definedName name="JUN">#REF!</definedName>
    <definedName localSheetId="7" name="ENE">AGOSTO!$A$3</definedName>
    <definedName hidden="1" localSheetId="0" name="Z_10672FFA_7158_4B7A_AC15_04BACC404E48_.wvu.FilterData">ENERO!$A$3:$X$52</definedName>
    <definedName hidden="1" localSheetId="1" name="Z_10672FFA_7158_4B7A_AC15_04BACC404E48_.wvu.FilterData">FEBRERO!$A$3:$X$52</definedName>
    <definedName hidden="1" localSheetId="2" name="Z_10672FFA_7158_4B7A_AC15_04BACC404E48_.wvu.FilterData">MARZO!$A$3:$X$52</definedName>
    <definedName hidden="1" localSheetId="3" name="Z_10672FFA_7158_4B7A_AC15_04BACC404E48_.wvu.FilterData">ABRIL!$A$3:$X$52</definedName>
    <definedName hidden="1" localSheetId="4" name="Z_10672FFA_7158_4B7A_AC15_04BACC404E48_.wvu.FilterData">MAYO!$A$3:$X$52</definedName>
    <definedName hidden="1" localSheetId="5" name="Z_10672FFA_7158_4B7A_AC15_04BACC404E48_.wvu.FilterData">JUNIO!$A$3:$X$52</definedName>
    <definedName hidden="1" localSheetId="6" name="Z_10672FFA_7158_4B7A_AC15_04BACC404E48_.wvu.FilterData">JULIO!$A$3:$X$52</definedName>
    <definedName hidden="1" localSheetId="7" name="Z_10672FFA_7158_4B7A_AC15_04BACC404E48_.wvu.FilterData">AGOSTO!$A$3:$X$52</definedName>
    <definedName hidden="1" localSheetId="8" name="Z_10672FFA_7158_4B7A_AC15_04BACC404E48_.wvu.FilterData">SETIEMBRE!$A$3:$X$52</definedName>
    <definedName hidden="1" localSheetId="9" name="Z_10672FFA_7158_4B7A_AC15_04BACC404E48_.wvu.FilterData">OCTUBRE!$A$3:$X$52</definedName>
    <definedName hidden="1" localSheetId="10" name="Z_10672FFA_7158_4B7A_AC15_04BACC404E48_.wvu.FilterData">NOVIEMBRE!$A$3:$X$52</definedName>
    <definedName hidden="1" localSheetId="11" name="Z_10672FFA_7158_4B7A_AC15_04BACC404E48_.wvu.FilterData">DICIEMBRE!$A$3:$X$52</definedName>
  </definedNames>
  <calcPr/>
  <customWorkbookViews>
    <customWorkbookView activeSheetId="0" maximized="1" windowHeight="0" windowWidth="0" guid="{10672FFA-7158-4B7A-AC15-04BACC404E48}" name="Filter 1"/>
  </customWorkbookViews>
</workbook>
</file>

<file path=xl/sharedStrings.xml><?xml version="1.0" encoding="utf-8"?>
<sst xmlns="http://schemas.openxmlformats.org/spreadsheetml/2006/main" count="1093" uniqueCount="88">
  <si>
    <t xml:space="preserve">SERVICIO RELACIONADO </t>
  </si>
  <si>
    <t xml:space="preserve">TIQUETS POR CANAL </t>
  </si>
  <si>
    <t>TIPO</t>
  </si>
  <si>
    <t xml:space="preserve">ROL USUARIO </t>
  </si>
  <si>
    <t>PRIORIDAD</t>
  </si>
  <si>
    <t>Cantidad x Servicio</t>
  </si>
  <si>
    <t xml:space="preserve">Chat </t>
  </si>
  <si>
    <t xml:space="preserve">Correo </t>
  </si>
  <si>
    <t>Facebook</t>
  </si>
  <si>
    <t>Memorandum</t>
  </si>
  <si>
    <t>Presencial</t>
  </si>
  <si>
    <t>Teléfono</t>
  </si>
  <si>
    <t>Twitter</t>
  </si>
  <si>
    <t>TOTAL</t>
  </si>
  <si>
    <t xml:space="preserve">Solicitud </t>
  </si>
  <si>
    <t>Incidente</t>
  </si>
  <si>
    <t>Estudiante</t>
  </si>
  <si>
    <t xml:space="preserve">Profesor </t>
  </si>
  <si>
    <t>Administrativo</t>
  </si>
  <si>
    <t xml:space="preserve">Director/Coordinador </t>
  </si>
  <si>
    <t>Externo</t>
  </si>
  <si>
    <t>Normal</t>
  </si>
  <si>
    <t>Baja</t>
  </si>
  <si>
    <t>Alta</t>
  </si>
  <si>
    <t xml:space="preserve">Urgente </t>
  </si>
  <si>
    <t>Acceso a la plataforma TEC Digital</t>
  </si>
  <si>
    <t>Acreditación</t>
  </si>
  <si>
    <t>Activar cuentas de usuario</t>
  </si>
  <si>
    <t>Activar curso</t>
  </si>
  <si>
    <t>Actualizar cursos a estudiantes</t>
  </si>
  <si>
    <t>Actualizar miembros de comunidades</t>
  </si>
  <si>
    <t>Administrador de asistencia</t>
  </si>
  <si>
    <t>Administrador Programa de Curso</t>
  </si>
  <si>
    <t>Agregar/cambiar asociación de estudiante a curso</t>
  </si>
  <si>
    <t>Agregar/cambiar asociación de profesor a curso</t>
  </si>
  <si>
    <t>Agregar/cambiar asociación de usuario a comunidad</t>
  </si>
  <si>
    <t>Agregar/cambiar asociación estudiante a curso Colegio Científico</t>
  </si>
  <si>
    <t>Agregar/cambiar asociación estudiante a curso FundaTEC</t>
  </si>
  <si>
    <t>Asignación de permisos especiales</t>
  </si>
  <si>
    <t>Atención personalizada a usuarios</t>
  </si>
  <si>
    <t>BiciTEC</t>
  </si>
  <si>
    <t>Calendario</t>
  </si>
  <si>
    <t>Cambiar información personal</t>
  </si>
  <si>
    <t>Cambio de contraseña</t>
  </si>
  <si>
    <t>Cambio de contraseña FundaTEC</t>
  </si>
  <si>
    <t>Carpeta Tareas</t>
  </si>
  <si>
    <t>Carpetas/Documentos</t>
  </si>
  <si>
    <t>Configuración de Comunidades/Cursos</t>
  </si>
  <si>
    <t>Consulta para Directores</t>
  </si>
  <si>
    <t>Control de plagio</t>
  </si>
  <si>
    <t>Copiado de contenidos</t>
  </si>
  <si>
    <t>Creación curso Colegio Científico</t>
  </si>
  <si>
    <t>Creación cursos FundaTEC</t>
  </si>
  <si>
    <t>Creación de comunidades</t>
  </si>
  <si>
    <t>Creación de curso</t>
  </si>
  <si>
    <t>Creación de usuarios</t>
  </si>
  <si>
    <t>Creación de usuarios Colegio Científico</t>
  </si>
  <si>
    <t>Creación de usuarios FundaTEC</t>
  </si>
  <si>
    <t>Curso Móvil</t>
  </si>
  <si>
    <t>Dashboard</t>
  </si>
  <si>
    <t>Diagnósticos</t>
  </si>
  <si>
    <t>Diseño instruccional</t>
  </si>
  <si>
    <t>Envío de comunicados a comunidades</t>
  </si>
  <si>
    <t>Envío de comunicados a lista seleccionada</t>
  </si>
  <si>
    <t>Envío de comunicados mediante redes sociales</t>
  </si>
  <si>
    <t>Estadísticas de curso/comunidad</t>
  </si>
  <si>
    <t>Evaluaciones</t>
  </si>
  <si>
    <t>Expediente docente</t>
  </si>
  <si>
    <t>Expediente estudiantil</t>
  </si>
  <si>
    <t>Feria de Negocios</t>
  </si>
  <si>
    <t>Foros</t>
  </si>
  <si>
    <t>GAAP</t>
  </si>
  <si>
    <t>Gestor de Atributos</t>
  </si>
  <si>
    <t>Gestor de inscripción</t>
  </si>
  <si>
    <t>Inglés FundaTEC</t>
  </si>
  <si>
    <t>INICIA</t>
  </si>
  <si>
    <t>Marco Lógico Colaborativo</t>
  </si>
  <si>
    <t>Mensajería via email</t>
  </si>
  <si>
    <t>Mensajería via SMS</t>
  </si>
  <si>
    <t>Prematrícula</t>
  </si>
  <si>
    <t>Problemas con correos</t>
  </si>
  <si>
    <t>Recuperación de documentos y/o carpeta</t>
  </si>
  <si>
    <t>Rúbricas</t>
  </si>
  <si>
    <t>Solicitud de capacitación</t>
  </si>
  <si>
    <t>Solicitud de información de la institución</t>
  </si>
  <si>
    <t>Solicitud de información de la plataforma</t>
  </si>
  <si>
    <t>Videoconferencias</t>
  </si>
  <si>
    <t>TOTAL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</si>
</sst>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name val="Arial"/>
    </font>
    <font/>
    <font>
      <name val="Arial"/>
    </font>
    <font>
      <b/>
      <sz val="12.0"/>
    </font>
    <font>
      <color rgb="FF000000"/>
      <name val="Arial"/>
    </font>
    <font>
      <b/>
    </font>
    <font>
      <sz val="11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7808E"/>
        <bgColor rgb="FF17808E"/>
      </patternFill>
    </fill>
    <fill>
      <patternFill patternType="solid">
        <fgColor rgb="FF66CC99"/>
        <bgColor rgb="FF66CC99"/>
      </patternFill>
    </fill>
    <fill>
      <patternFill patternType="solid">
        <fgColor rgb="FFFFCC00"/>
        <bgColor rgb="FFFFCC00"/>
      </patternFill>
    </fill>
    <fill>
      <patternFill patternType="solid">
        <fgColor rgb="FF894D69"/>
        <bgColor rgb="FF894D69"/>
      </patternFill>
    </fill>
    <fill>
      <patternFill patternType="solid">
        <fgColor rgb="FFCC0000"/>
        <bgColor rgb="FFCC0000"/>
      </patternFill>
    </fill>
    <fill>
      <patternFill patternType="solid">
        <fgColor rgb="FF23A4B5"/>
        <bgColor rgb="FF23A4B5"/>
      </patternFill>
    </fill>
    <fill>
      <patternFill patternType="solid">
        <fgColor rgb="FF77EFB3"/>
        <bgColor rgb="FF77EFB3"/>
      </patternFill>
    </fill>
    <fill>
      <patternFill patternType="solid">
        <fgColor rgb="FFFFFF99"/>
        <bgColor rgb="FFFFFF99"/>
      </patternFill>
    </fill>
    <fill>
      <patternFill patternType="solid">
        <fgColor rgb="FFAA5F82"/>
        <bgColor rgb="FFAA5F82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1">
    <border/>
    <border>
      <left style="double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3" fontId="1" numFmtId="0" xfId="0" applyAlignment="1" applyBorder="1" applyFill="1" applyFont="1">
      <alignment horizontal="center" shrinkToFit="0" vertical="bottom" wrapText="0"/>
    </xf>
    <xf borderId="3" fillId="0" fontId="2" numFmtId="0" xfId="0" applyBorder="1" applyFont="1"/>
    <xf borderId="4" fillId="0" fontId="2" numFmtId="0" xfId="0" applyBorder="1" applyFont="1"/>
    <xf borderId="3" fillId="4" fontId="1" numFmtId="0" xfId="0" applyAlignment="1" applyBorder="1" applyFill="1" applyFont="1">
      <alignment horizontal="center" shrinkToFit="0" vertical="bottom" wrapText="0"/>
    </xf>
    <xf borderId="3" fillId="5" fontId="1" numFmtId="0" xfId="0" applyAlignment="1" applyBorder="1" applyFill="1" applyFont="1">
      <alignment horizontal="center" shrinkToFit="0" vertical="bottom" wrapText="0"/>
    </xf>
    <xf borderId="3" fillId="6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7" fontId="3" numFmtId="0" xfId="0" applyAlignment="1" applyBorder="1" applyFill="1" applyFont="1">
      <alignment vertical="bottom"/>
    </xf>
    <xf borderId="8" fillId="7" fontId="3" numFmtId="0" xfId="0" applyAlignment="1" applyBorder="1" applyFont="1">
      <alignment horizontal="center" shrinkToFit="0" vertical="bottom" wrapText="0"/>
    </xf>
    <xf borderId="8" fillId="8" fontId="3" numFmtId="0" xfId="0" applyAlignment="1" applyBorder="1" applyFill="1" applyFont="1">
      <alignment horizontal="center" shrinkToFit="0" vertical="bottom" wrapText="0"/>
    </xf>
    <xf borderId="8" fillId="9" fontId="3" numFmtId="0" xfId="0" applyAlignment="1" applyBorder="1" applyFill="1" applyFont="1">
      <alignment horizontal="center" shrinkToFit="0" vertical="bottom" wrapText="0"/>
    </xf>
    <xf borderId="8" fillId="10" fontId="3" numFmtId="0" xfId="0" applyAlignment="1" applyBorder="1" applyFill="1" applyFont="1">
      <alignment horizontal="center" shrinkToFit="0" vertical="bottom" wrapText="0"/>
    </xf>
    <xf borderId="8" fillId="10" fontId="3" numFmtId="0" xfId="0" applyAlignment="1" applyBorder="1" applyFont="1">
      <alignment horizontal="center" vertical="bottom"/>
    </xf>
    <xf borderId="8" fillId="11" fontId="3" numFmtId="0" xfId="0" applyAlignment="1" applyBorder="1" applyFill="1" applyFont="1">
      <alignment horizontal="center" vertical="bottom"/>
    </xf>
    <xf borderId="10" fillId="0" fontId="2" numFmtId="0" xfId="0" applyAlignment="1" applyBorder="1" applyFont="1">
      <alignment horizontal="left" readingOrder="0"/>
    </xf>
    <xf borderId="10" fillId="0" fontId="3" numFmtId="0" xfId="0" applyAlignment="1" applyBorder="1" applyFont="1">
      <alignment horizontal="right" readingOrder="0" shrinkToFit="0" vertical="bottom" wrapText="0"/>
    </xf>
    <xf borderId="8" fillId="0" fontId="3" numFmtId="0" xfId="0" applyAlignment="1" applyBorder="1" applyFont="1">
      <alignment horizontal="right" readingOrder="0" shrinkToFit="0" vertical="bottom" wrapText="0"/>
    </xf>
    <xf borderId="8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horizontal="right" shrinkToFit="0" vertical="bottom" wrapText="0"/>
    </xf>
    <xf borderId="8" fillId="0" fontId="3" numFmtId="0" xfId="0" applyAlignment="1" applyBorder="1" applyFont="1">
      <alignment horizontal="right" vertical="bottom"/>
    </xf>
    <xf borderId="10" fillId="0" fontId="3" numFmtId="0" xfId="0" applyAlignment="1" applyBorder="1" applyFont="1">
      <alignment readingOrder="0" vertical="bottom"/>
    </xf>
    <xf borderId="10" fillId="12" fontId="3" numFmtId="0" xfId="0" applyAlignment="1" applyBorder="1" applyFill="1" applyFont="1">
      <alignment readingOrder="0" vertical="bottom"/>
    </xf>
    <xf borderId="8" fillId="12" fontId="3" numFmtId="0" xfId="0" applyAlignment="1" applyBorder="1" applyFont="1">
      <alignment readingOrder="0" vertical="bottom"/>
    </xf>
    <xf borderId="0" fillId="12" fontId="2" numFmtId="0" xfId="0" applyFont="1"/>
    <xf borderId="10" fillId="0" fontId="2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0" fillId="12" fontId="5" numFmtId="0" xfId="0" applyAlignment="1" applyFont="1">
      <alignment horizontal="left" readingOrder="0"/>
    </xf>
    <xf borderId="10" fillId="0" fontId="6" numFmtId="0" xfId="0" applyAlignment="1" applyBorder="1" applyFont="1">
      <alignment readingOrder="0"/>
    </xf>
    <xf borderId="10" fillId="0" fontId="2" numFmtId="0" xfId="0" applyBorder="1" applyFont="1"/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0" fillId="12" fontId="7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30.0</v>
      </c>
      <c r="C4" s="22">
        <v>0.0</v>
      </c>
      <c r="D4" s="23">
        <v>29.0</v>
      </c>
      <c r="E4" s="23">
        <v>0.0</v>
      </c>
      <c r="F4" s="23">
        <v>0.0</v>
      </c>
      <c r="G4" s="24">
        <v>0.0</v>
      </c>
      <c r="H4" s="22">
        <v>1.0</v>
      </c>
      <c r="I4" s="23">
        <v>0.0</v>
      </c>
      <c r="J4" s="25">
        <f t="shared" ref="J4:J38" si="1">sum(C4:I4)</f>
        <v>30</v>
      </c>
      <c r="K4" s="23">
        <v>30.0</v>
      </c>
      <c r="L4" s="23">
        <v>0.0</v>
      </c>
      <c r="M4" s="25">
        <f t="shared" ref="M4:M38" si="2">sum(K4:L4)</f>
        <v>30</v>
      </c>
      <c r="N4" s="23">
        <v>27.0</v>
      </c>
      <c r="O4" s="22">
        <v>2.0</v>
      </c>
      <c r="P4" s="23">
        <v>1.0</v>
      </c>
      <c r="Q4" s="22">
        <v>0.0</v>
      </c>
      <c r="R4" s="22">
        <v>0.0</v>
      </c>
      <c r="S4" s="26">
        <f t="shared" ref="S4:S38" si="3">sum(N4:R4)</f>
        <v>30</v>
      </c>
      <c r="T4" s="23">
        <v>30.0</v>
      </c>
      <c r="U4" s="23">
        <v>0.0</v>
      </c>
      <c r="V4" s="23">
        <v>0.0</v>
      </c>
      <c r="W4" s="23">
        <v>0.0</v>
      </c>
      <c r="X4" s="26">
        <f t="shared" ref="X4:X38" si="4">sum(T4:W4)</f>
        <v>30</v>
      </c>
    </row>
    <row r="5">
      <c r="A5" s="20" t="s">
        <v>26</v>
      </c>
      <c r="B5" s="21">
        <v>0.0</v>
      </c>
      <c r="C5" s="22">
        <v>0.0</v>
      </c>
      <c r="D5" s="23">
        <v>0.0</v>
      </c>
      <c r="E5" s="24">
        <v>0.0</v>
      </c>
      <c r="F5" s="23">
        <v>0.0</v>
      </c>
      <c r="G5" s="23">
        <v>0.0</v>
      </c>
      <c r="H5" s="22">
        <v>0.0</v>
      </c>
      <c r="I5" s="23">
        <v>0.0</v>
      </c>
      <c r="J5" s="25">
        <f t="shared" si="1"/>
        <v>0</v>
      </c>
      <c r="K5" s="23">
        <v>0.0</v>
      </c>
      <c r="L5" s="23">
        <v>0.0</v>
      </c>
      <c r="M5" s="25">
        <f t="shared" si="2"/>
        <v>0</v>
      </c>
      <c r="N5" s="23">
        <v>0.0</v>
      </c>
      <c r="O5" s="22">
        <v>0.0</v>
      </c>
      <c r="P5" s="23">
        <v>0.0</v>
      </c>
      <c r="Q5" s="23">
        <v>0.0</v>
      </c>
      <c r="R5" s="23">
        <v>0.0</v>
      </c>
      <c r="S5" s="26">
        <f t="shared" si="3"/>
        <v>0</v>
      </c>
      <c r="T5" s="23">
        <v>0.0</v>
      </c>
      <c r="U5" s="24">
        <v>0.0</v>
      </c>
      <c r="V5" s="23">
        <v>0.0</v>
      </c>
      <c r="W5" s="23">
        <v>0.0</v>
      </c>
      <c r="X5" s="26">
        <f t="shared" si="4"/>
        <v>0</v>
      </c>
    </row>
    <row r="6">
      <c r="A6" s="20" t="s">
        <v>27</v>
      </c>
      <c r="B6" s="21">
        <v>0.0</v>
      </c>
      <c r="C6" s="22">
        <v>0.0</v>
      </c>
      <c r="D6" s="23">
        <v>0.0</v>
      </c>
      <c r="E6" s="24">
        <v>0.0</v>
      </c>
      <c r="F6" s="23">
        <v>0.0</v>
      </c>
      <c r="G6" s="23">
        <v>0.0</v>
      </c>
      <c r="H6" s="22">
        <v>0.0</v>
      </c>
      <c r="I6" s="23">
        <v>0.0</v>
      </c>
      <c r="J6" s="25">
        <f t="shared" si="1"/>
        <v>0</v>
      </c>
      <c r="K6" s="23">
        <v>0.0</v>
      </c>
      <c r="L6" s="23">
        <v>0.0</v>
      </c>
      <c r="M6" s="25">
        <f t="shared" si="2"/>
        <v>0</v>
      </c>
      <c r="N6" s="23">
        <v>0.0</v>
      </c>
      <c r="O6" s="22">
        <v>0.0</v>
      </c>
      <c r="P6" s="23">
        <v>0.0</v>
      </c>
      <c r="Q6" s="23">
        <v>0.0</v>
      </c>
      <c r="R6" s="23">
        <v>0.0</v>
      </c>
      <c r="S6" s="26">
        <f t="shared" si="3"/>
        <v>0</v>
      </c>
      <c r="T6" s="23">
        <v>0.0</v>
      </c>
      <c r="U6" s="24">
        <v>0.0</v>
      </c>
      <c r="V6" s="23">
        <v>0.0</v>
      </c>
      <c r="W6" s="23">
        <v>0.0</v>
      </c>
      <c r="X6" s="26">
        <f t="shared" si="4"/>
        <v>0</v>
      </c>
    </row>
    <row r="7">
      <c r="A7" s="20" t="s">
        <v>28</v>
      </c>
      <c r="B7" s="21">
        <v>6.0</v>
      </c>
      <c r="C7" s="23">
        <v>0.0</v>
      </c>
      <c r="D7" s="23">
        <v>2.0</v>
      </c>
      <c r="E7" s="23">
        <v>0.0</v>
      </c>
      <c r="F7" s="23">
        <v>0.0</v>
      </c>
      <c r="G7" s="23">
        <v>0.0</v>
      </c>
      <c r="H7" s="23">
        <v>4.0</v>
      </c>
      <c r="I7" s="23">
        <v>0.0</v>
      </c>
      <c r="J7" s="25">
        <f t="shared" si="1"/>
        <v>6</v>
      </c>
      <c r="K7" s="23">
        <v>6.0</v>
      </c>
      <c r="L7" s="23">
        <v>0.0</v>
      </c>
      <c r="M7" s="25">
        <f t="shared" si="2"/>
        <v>6</v>
      </c>
      <c r="N7" s="23">
        <v>0.0</v>
      </c>
      <c r="O7" s="22">
        <v>3.0</v>
      </c>
      <c r="P7" s="23">
        <v>1.0</v>
      </c>
      <c r="Q7" s="23">
        <v>2.0</v>
      </c>
      <c r="R7" s="23">
        <v>0.0</v>
      </c>
      <c r="S7" s="26">
        <f t="shared" si="3"/>
        <v>6</v>
      </c>
      <c r="T7" s="23">
        <v>4.0</v>
      </c>
      <c r="U7" s="23">
        <v>0.0</v>
      </c>
      <c r="V7" s="23">
        <v>0.0</v>
      </c>
      <c r="W7" s="23">
        <v>2.0</v>
      </c>
      <c r="X7" s="26">
        <f t="shared" si="4"/>
        <v>6</v>
      </c>
    </row>
    <row r="8">
      <c r="A8" s="20" t="s">
        <v>29</v>
      </c>
      <c r="B8" s="21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5">
        <f t="shared" si="1"/>
        <v>0</v>
      </c>
      <c r="K8" s="23">
        <v>0.0</v>
      </c>
      <c r="L8" s="23">
        <v>0.0</v>
      </c>
      <c r="M8" s="25">
        <f t="shared" si="2"/>
        <v>0</v>
      </c>
      <c r="N8" s="23">
        <v>0.0</v>
      </c>
      <c r="O8" s="22">
        <v>0.0</v>
      </c>
      <c r="P8" s="23">
        <v>0.0</v>
      </c>
      <c r="Q8" s="23">
        <v>0.0</v>
      </c>
      <c r="R8" s="23">
        <v>0.0</v>
      </c>
      <c r="S8" s="26">
        <f t="shared" si="3"/>
        <v>0</v>
      </c>
      <c r="T8" s="23">
        <v>0.0</v>
      </c>
      <c r="U8" s="23">
        <v>0.0</v>
      </c>
      <c r="V8" s="23">
        <v>0.0</v>
      </c>
      <c r="W8" s="23">
        <v>0.0</v>
      </c>
      <c r="X8" s="26">
        <f t="shared" si="4"/>
        <v>0</v>
      </c>
    </row>
    <row r="9">
      <c r="A9" s="20" t="s">
        <v>30</v>
      </c>
      <c r="B9" s="21">
        <v>1.0</v>
      </c>
      <c r="C9" s="23">
        <v>0.0</v>
      </c>
      <c r="D9" s="23">
        <v>1.0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5">
        <f t="shared" si="1"/>
        <v>1</v>
      </c>
      <c r="K9" s="23">
        <v>1.0</v>
      </c>
      <c r="L9" s="23">
        <v>0.0</v>
      </c>
      <c r="M9" s="25">
        <f t="shared" si="2"/>
        <v>1</v>
      </c>
      <c r="N9" s="23">
        <v>0.0</v>
      </c>
      <c r="O9" s="22">
        <v>0.0</v>
      </c>
      <c r="P9" s="23">
        <v>1.0</v>
      </c>
      <c r="Q9" s="23">
        <v>0.0</v>
      </c>
      <c r="R9" s="23">
        <v>0.0</v>
      </c>
      <c r="S9" s="26">
        <f t="shared" si="3"/>
        <v>1</v>
      </c>
      <c r="T9" s="23">
        <v>1.0</v>
      </c>
      <c r="U9" s="23">
        <v>0.0</v>
      </c>
      <c r="V9" s="23">
        <v>0.0</v>
      </c>
      <c r="W9" s="23">
        <v>0.0</v>
      </c>
      <c r="X9" s="26">
        <f t="shared" si="4"/>
        <v>1</v>
      </c>
    </row>
    <row r="10">
      <c r="A10" s="20" t="s">
        <v>31</v>
      </c>
      <c r="B10" s="21">
        <v>1.0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1.0</v>
      </c>
      <c r="I10" s="23">
        <v>0.0</v>
      </c>
      <c r="J10" s="25">
        <f t="shared" si="1"/>
        <v>1</v>
      </c>
      <c r="K10" s="23">
        <v>1.0</v>
      </c>
      <c r="L10" s="23">
        <v>0.0</v>
      </c>
      <c r="M10" s="25">
        <f t="shared" si="2"/>
        <v>1</v>
      </c>
      <c r="N10" s="23">
        <v>0.0</v>
      </c>
      <c r="O10" s="22">
        <v>1.0</v>
      </c>
      <c r="P10" s="23">
        <v>0.0</v>
      </c>
      <c r="Q10" s="23">
        <v>0.0</v>
      </c>
      <c r="R10" s="23">
        <v>0.0</v>
      </c>
      <c r="S10" s="26">
        <f t="shared" si="3"/>
        <v>1</v>
      </c>
      <c r="T10" s="23">
        <v>1.0</v>
      </c>
      <c r="U10" s="23">
        <v>0.0</v>
      </c>
      <c r="V10" s="23">
        <v>0.0</v>
      </c>
      <c r="W10" s="23">
        <v>0.0</v>
      </c>
      <c r="X10" s="26">
        <f t="shared" si="4"/>
        <v>1</v>
      </c>
    </row>
    <row r="11">
      <c r="A11" s="20" t="s">
        <v>32</v>
      </c>
      <c r="B11" s="21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2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4.0</v>
      </c>
      <c r="C12" s="23">
        <v>0.0</v>
      </c>
      <c r="D12" s="23">
        <v>4.0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5">
        <f t="shared" si="1"/>
        <v>4</v>
      </c>
      <c r="K12" s="23">
        <v>4.0</v>
      </c>
      <c r="L12" s="23">
        <v>0.0</v>
      </c>
      <c r="M12" s="25">
        <f t="shared" si="2"/>
        <v>4</v>
      </c>
      <c r="N12" s="23">
        <v>0.0</v>
      </c>
      <c r="O12" s="22">
        <v>0.0</v>
      </c>
      <c r="P12" s="23">
        <v>4.0</v>
      </c>
      <c r="Q12" s="23">
        <v>0.0</v>
      </c>
      <c r="R12" s="23">
        <v>0.0</v>
      </c>
      <c r="S12" s="26">
        <f t="shared" si="3"/>
        <v>4</v>
      </c>
      <c r="T12" s="23">
        <v>4.0</v>
      </c>
      <c r="U12" s="23">
        <v>0.0</v>
      </c>
      <c r="V12" s="23">
        <v>0.0</v>
      </c>
      <c r="W12" s="23">
        <v>0.0</v>
      </c>
      <c r="X12" s="26">
        <f t="shared" si="4"/>
        <v>4</v>
      </c>
    </row>
    <row r="13">
      <c r="A13" s="20" t="s">
        <v>34</v>
      </c>
      <c r="B13" s="21">
        <v>19.0</v>
      </c>
      <c r="C13" s="23">
        <v>1.0</v>
      </c>
      <c r="D13" s="23">
        <v>7.0</v>
      </c>
      <c r="E13" s="23">
        <v>0.0</v>
      </c>
      <c r="F13" s="23">
        <v>0.0</v>
      </c>
      <c r="G13" s="23">
        <v>0.0</v>
      </c>
      <c r="H13" s="23">
        <v>11.0</v>
      </c>
      <c r="I13" s="23">
        <v>0.0</v>
      </c>
      <c r="J13" s="25">
        <f t="shared" si="1"/>
        <v>19</v>
      </c>
      <c r="K13" s="23">
        <v>19.0</v>
      </c>
      <c r="L13" s="23">
        <v>0.0</v>
      </c>
      <c r="M13" s="25">
        <f t="shared" si="2"/>
        <v>19</v>
      </c>
      <c r="N13" s="23">
        <v>0.0</v>
      </c>
      <c r="O13" s="22">
        <v>11.0</v>
      </c>
      <c r="P13" s="24">
        <v>7.0</v>
      </c>
      <c r="Q13" s="22">
        <v>1.0</v>
      </c>
      <c r="R13" s="23">
        <v>0.0</v>
      </c>
      <c r="S13" s="26">
        <f t="shared" si="3"/>
        <v>19</v>
      </c>
      <c r="T13" s="23">
        <v>16.0</v>
      </c>
      <c r="U13" s="23">
        <v>0.0</v>
      </c>
      <c r="V13" s="23">
        <v>2.0</v>
      </c>
      <c r="W13" s="24">
        <v>1.0</v>
      </c>
      <c r="X13" s="26">
        <f t="shared" si="4"/>
        <v>19</v>
      </c>
    </row>
    <row r="14">
      <c r="A14" s="20" t="s">
        <v>35</v>
      </c>
      <c r="B14" s="27">
        <v>2.0</v>
      </c>
      <c r="C14" s="23">
        <v>0.0</v>
      </c>
      <c r="D14" s="23">
        <v>2.0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5">
        <f t="shared" si="1"/>
        <v>2</v>
      </c>
      <c r="K14" s="23">
        <v>2.0</v>
      </c>
      <c r="L14" s="23">
        <v>0.0</v>
      </c>
      <c r="M14" s="25">
        <f t="shared" si="2"/>
        <v>2</v>
      </c>
      <c r="N14" s="23">
        <v>1.0</v>
      </c>
      <c r="O14" s="23">
        <v>1.0</v>
      </c>
      <c r="P14" s="23">
        <v>0.0</v>
      </c>
      <c r="Q14" s="23">
        <v>0.0</v>
      </c>
      <c r="R14" s="23">
        <v>0.0</v>
      </c>
      <c r="S14" s="26">
        <f t="shared" si="3"/>
        <v>2</v>
      </c>
      <c r="T14" s="23">
        <v>2.0</v>
      </c>
      <c r="U14" s="23">
        <v>0.0</v>
      </c>
      <c r="V14" s="23">
        <v>0.0</v>
      </c>
      <c r="W14" s="23">
        <v>0.0</v>
      </c>
      <c r="X14" s="26">
        <f t="shared" si="4"/>
        <v>2</v>
      </c>
    </row>
    <row r="15">
      <c r="A15" s="20" t="s">
        <v>36</v>
      </c>
      <c r="B15" s="21">
        <v>0.0</v>
      </c>
      <c r="C15" s="23">
        <v>0.0</v>
      </c>
      <c r="D15" s="23">
        <v>0.0</v>
      </c>
      <c r="E15" s="23">
        <v>0.0</v>
      </c>
      <c r="F15" s="23">
        <v>0.0</v>
      </c>
      <c r="G15" s="22">
        <v>0.0</v>
      </c>
      <c r="H15" s="22">
        <v>0.0</v>
      </c>
      <c r="I15" s="23">
        <v>0.0</v>
      </c>
      <c r="J15" s="25">
        <f t="shared" si="1"/>
        <v>0</v>
      </c>
      <c r="K15" s="23">
        <v>0.0</v>
      </c>
      <c r="L15" s="24">
        <v>0.0</v>
      </c>
      <c r="M15" s="25">
        <f t="shared" si="2"/>
        <v>0</v>
      </c>
      <c r="N15" s="23">
        <v>0.0</v>
      </c>
      <c r="O15" s="22">
        <v>0.0</v>
      </c>
      <c r="P15" s="24">
        <v>0.0</v>
      </c>
      <c r="Q15" s="24">
        <v>0.0</v>
      </c>
      <c r="R15" s="24">
        <v>0.0</v>
      </c>
      <c r="S15" s="26">
        <f t="shared" si="3"/>
        <v>0</v>
      </c>
      <c r="T15" s="23">
        <v>0.0</v>
      </c>
      <c r="U15" s="23">
        <v>0.0</v>
      </c>
      <c r="V15" s="24">
        <v>0.0</v>
      </c>
      <c r="W15" s="23">
        <v>0.0</v>
      </c>
      <c r="X15" s="26">
        <f t="shared" si="4"/>
        <v>0</v>
      </c>
    </row>
    <row r="16">
      <c r="A16" s="20" t="s">
        <v>37</v>
      </c>
      <c r="B16" s="21">
        <v>10.0</v>
      </c>
      <c r="C16" s="23">
        <v>0.0</v>
      </c>
      <c r="D16" s="23">
        <v>10.0</v>
      </c>
      <c r="E16" s="23">
        <v>0.0</v>
      </c>
      <c r="F16" s="23">
        <v>0.0</v>
      </c>
      <c r="G16" s="22">
        <v>0.0</v>
      </c>
      <c r="H16" s="22">
        <v>0.0</v>
      </c>
      <c r="I16" s="23">
        <v>0.0</v>
      </c>
      <c r="J16" s="25">
        <f t="shared" si="1"/>
        <v>10</v>
      </c>
      <c r="K16" s="23">
        <v>10.0</v>
      </c>
      <c r="L16" s="24">
        <v>0.0</v>
      </c>
      <c r="M16" s="25">
        <f t="shared" si="2"/>
        <v>10</v>
      </c>
      <c r="N16" s="23">
        <v>0.0</v>
      </c>
      <c r="O16" s="22">
        <v>1.0</v>
      </c>
      <c r="P16" s="24">
        <v>9.0</v>
      </c>
      <c r="Q16" s="24">
        <v>0.0</v>
      </c>
      <c r="R16" s="24">
        <v>0.0</v>
      </c>
      <c r="S16" s="26">
        <f t="shared" si="3"/>
        <v>10</v>
      </c>
      <c r="T16" s="23">
        <v>8.0</v>
      </c>
      <c r="U16" s="23">
        <v>0.0</v>
      </c>
      <c r="V16" s="24">
        <v>1.0</v>
      </c>
      <c r="W16" s="23">
        <v>1.0</v>
      </c>
      <c r="X16" s="26">
        <f t="shared" si="4"/>
        <v>10</v>
      </c>
    </row>
    <row r="17">
      <c r="A17" s="20" t="s">
        <v>38</v>
      </c>
      <c r="B17" s="21">
        <v>2.0</v>
      </c>
      <c r="C17" s="23">
        <v>0.0</v>
      </c>
      <c r="D17" s="23">
        <v>2.0</v>
      </c>
      <c r="E17" s="23">
        <v>0.0</v>
      </c>
      <c r="F17" s="23">
        <v>0.0</v>
      </c>
      <c r="G17" s="22">
        <v>0.0</v>
      </c>
      <c r="H17" s="22">
        <v>0.0</v>
      </c>
      <c r="I17" s="23">
        <v>0.0</v>
      </c>
      <c r="J17" s="25">
        <f t="shared" si="1"/>
        <v>2</v>
      </c>
      <c r="K17" s="23">
        <v>2.0</v>
      </c>
      <c r="L17" s="24">
        <v>0.0</v>
      </c>
      <c r="M17" s="25">
        <f t="shared" si="2"/>
        <v>2</v>
      </c>
      <c r="N17" s="23">
        <v>0.0</v>
      </c>
      <c r="O17" s="22">
        <v>0.0</v>
      </c>
      <c r="P17" s="24">
        <v>1.0</v>
      </c>
      <c r="Q17" s="24">
        <v>1.0</v>
      </c>
      <c r="R17" s="24">
        <v>0.0</v>
      </c>
      <c r="S17" s="26">
        <f t="shared" si="3"/>
        <v>2</v>
      </c>
      <c r="T17" s="23">
        <v>1.0</v>
      </c>
      <c r="U17" s="23">
        <v>0.0</v>
      </c>
      <c r="V17" s="24">
        <v>1.0</v>
      </c>
      <c r="W17" s="23">
        <v>0.0</v>
      </c>
      <c r="X17" s="26">
        <f t="shared" si="4"/>
        <v>2</v>
      </c>
    </row>
    <row r="18">
      <c r="A18" s="20" t="s">
        <v>39</v>
      </c>
      <c r="B18" s="27">
        <v>27.0</v>
      </c>
      <c r="C18" s="23">
        <v>2.0</v>
      </c>
      <c r="D18" s="23">
        <v>23.0</v>
      </c>
      <c r="E18" s="23">
        <v>0.0</v>
      </c>
      <c r="F18" s="23">
        <v>0.0</v>
      </c>
      <c r="G18" s="23">
        <v>0.0</v>
      </c>
      <c r="H18" s="23">
        <v>2.0</v>
      </c>
      <c r="I18" s="23">
        <v>0.0</v>
      </c>
      <c r="J18" s="25">
        <f t="shared" si="1"/>
        <v>27</v>
      </c>
      <c r="K18" s="23">
        <v>27.0</v>
      </c>
      <c r="L18" s="23">
        <v>0.0</v>
      </c>
      <c r="M18" s="25">
        <f t="shared" si="2"/>
        <v>27</v>
      </c>
      <c r="N18" s="23">
        <v>15.0</v>
      </c>
      <c r="O18" s="23">
        <v>1.0</v>
      </c>
      <c r="P18" s="23">
        <v>5.0</v>
      </c>
      <c r="Q18" s="23">
        <v>1.0</v>
      </c>
      <c r="R18" s="23">
        <v>5.0</v>
      </c>
      <c r="S18" s="26">
        <f t="shared" si="3"/>
        <v>27</v>
      </c>
      <c r="T18" s="23">
        <v>23.0</v>
      </c>
      <c r="U18" s="23">
        <v>0.0</v>
      </c>
      <c r="V18" s="23">
        <v>1.0</v>
      </c>
      <c r="W18" s="23">
        <v>3.0</v>
      </c>
      <c r="X18" s="26">
        <f t="shared" si="4"/>
        <v>27</v>
      </c>
    </row>
    <row r="19">
      <c r="A19" s="20" t="s">
        <v>40</v>
      </c>
      <c r="B19" s="27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5">
        <f t="shared" si="1"/>
        <v>0</v>
      </c>
      <c r="K19" s="23">
        <v>0.0</v>
      </c>
      <c r="L19" s="23">
        <v>0.0</v>
      </c>
      <c r="M19" s="25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0</v>
      </c>
      <c r="T19" s="23">
        <v>0.0</v>
      </c>
      <c r="U19" s="23">
        <v>0.0</v>
      </c>
      <c r="V19" s="23">
        <v>0.0</v>
      </c>
      <c r="W19" s="23">
        <v>0.0</v>
      </c>
      <c r="X19" s="26">
        <f t="shared" si="4"/>
        <v>0</v>
      </c>
    </row>
    <row r="20">
      <c r="A20" s="20" t="s">
        <v>41</v>
      </c>
      <c r="B20" s="21">
        <v>0.0</v>
      </c>
      <c r="C20" s="22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2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4">
        <v>0.0</v>
      </c>
      <c r="X20" s="26">
        <f t="shared" si="4"/>
        <v>0</v>
      </c>
    </row>
    <row r="21">
      <c r="A21" s="20" t="s">
        <v>42</v>
      </c>
      <c r="B21" s="27">
        <v>3.0</v>
      </c>
      <c r="C21" s="23">
        <v>0.0</v>
      </c>
      <c r="D21" s="23">
        <v>3.0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5">
        <f t="shared" si="1"/>
        <v>3</v>
      </c>
      <c r="K21" s="23">
        <v>3.0</v>
      </c>
      <c r="L21" s="23">
        <v>0.0</v>
      </c>
      <c r="M21" s="25">
        <f t="shared" si="2"/>
        <v>3</v>
      </c>
      <c r="N21" s="23">
        <v>1.0</v>
      </c>
      <c r="O21" s="23">
        <v>0.0</v>
      </c>
      <c r="P21" s="23">
        <v>2.0</v>
      </c>
      <c r="Q21" s="23">
        <v>0.0</v>
      </c>
      <c r="R21" s="23">
        <v>0.0</v>
      </c>
      <c r="S21" s="26">
        <f t="shared" si="3"/>
        <v>3</v>
      </c>
      <c r="T21" s="23">
        <v>3.0</v>
      </c>
      <c r="U21" s="23">
        <v>0.0</v>
      </c>
      <c r="V21" s="23">
        <v>0.0</v>
      </c>
      <c r="W21" s="23">
        <v>0.0</v>
      </c>
      <c r="X21" s="26">
        <f t="shared" si="4"/>
        <v>3</v>
      </c>
    </row>
    <row r="22">
      <c r="A22" s="20" t="s">
        <v>43</v>
      </c>
      <c r="B22" s="27">
        <v>29.0</v>
      </c>
      <c r="C22" s="23">
        <v>0.0</v>
      </c>
      <c r="D22" s="23">
        <v>18.0</v>
      </c>
      <c r="E22" s="23">
        <v>0.0</v>
      </c>
      <c r="F22" s="23">
        <v>0.0</v>
      </c>
      <c r="G22" s="23">
        <v>2.0</v>
      </c>
      <c r="H22" s="23">
        <v>9.0</v>
      </c>
      <c r="I22" s="23">
        <v>0.0</v>
      </c>
      <c r="J22" s="25">
        <f t="shared" si="1"/>
        <v>29</v>
      </c>
      <c r="K22" s="23">
        <v>29.0</v>
      </c>
      <c r="L22" s="23">
        <v>0.0</v>
      </c>
      <c r="M22" s="25">
        <f t="shared" si="2"/>
        <v>29</v>
      </c>
      <c r="N22" s="23">
        <v>13.0</v>
      </c>
      <c r="O22" s="23">
        <v>8.0</v>
      </c>
      <c r="P22" s="23">
        <v>7.0</v>
      </c>
      <c r="Q22" s="23">
        <v>0.0</v>
      </c>
      <c r="R22" s="23">
        <v>1.0</v>
      </c>
      <c r="S22" s="26">
        <f t="shared" si="3"/>
        <v>29</v>
      </c>
      <c r="T22" s="23">
        <v>28.0</v>
      </c>
      <c r="U22" s="23">
        <v>1.0</v>
      </c>
      <c r="V22" s="23">
        <v>0.0</v>
      </c>
      <c r="W22" s="23">
        <v>0.0</v>
      </c>
      <c r="X22" s="26">
        <f t="shared" si="4"/>
        <v>29</v>
      </c>
    </row>
    <row r="23">
      <c r="A23" s="20" t="s">
        <v>44</v>
      </c>
      <c r="B23" s="27">
        <v>3.0</v>
      </c>
      <c r="C23" s="23">
        <v>0.0</v>
      </c>
      <c r="D23" s="23">
        <v>2.0</v>
      </c>
      <c r="E23" s="23">
        <v>0.0</v>
      </c>
      <c r="F23" s="23">
        <v>0.0</v>
      </c>
      <c r="G23" s="23">
        <v>0.0</v>
      </c>
      <c r="H23" s="23">
        <v>1.0</v>
      </c>
      <c r="I23" s="23">
        <v>0.0</v>
      </c>
      <c r="J23" s="25">
        <f t="shared" si="1"/>
        <v>3</v>
      </c>
      <c r="K23" s="23">
        <v>3.0</v>
      </c>
      <c r="L23" s="23">
        <v>0.0</v>
      </c>
      <c r="M23" s="25">
        <f t="shared" si="2"/>
        <v>3</v>
      </c>
      <c r="N23" s="23">
        <v>3.0</v>
      </c>
      <c r="O23" s="23">
        <v>0.0</v>
      </c>
      <c r="P23" s="23">
        <v>0.0</v>
      </c>
      <c r="Q23" s="23">
        <v>0.0</v>
      </c>
      <c r="R23" s="23">
        <v>0.0</v>
      </c>
      <c r="S23" s="26">
        <f t="shared" si="3"/>
        <v>3</v>
      </c>
      <c r="T23" s="23">
        <v>3.0</v>
      </c>
      <c r="U23" s="23">
        <v>0.0</v>
      </c>
      <c r="V23" s="23">
        <v>0.0</v>
      </c>
      <c r="W23" s="23">
        <v>0.0</v>
      </c>
      <c r="X23" s="26">
        <f t="shared" si="4"/>
        <v>3</v>
      </c>
    </row>
    <row r="24">
      <c r="A24" s="20" t="s">
        <v>45</v>
      </c>
      <c r="B24" s="27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5">
        <f t="shared" si="1"/>
        <v>0</v>
      </c>
      <c r="K24" s="23">
        <v>0.0</v>
      </c>
      <c r="L24" s="23">
        <v>0.0</v>
      </c>
      <c r="M24" s="25">
        <f t="shared" si="2"/>
        <v>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6">
        <f t="shared" si="3"/>
        <v>0</v>
      </c>
      <c r="T24" s="23">
        <v>0.0</v>
      </c>
      <c r="U24" s="23">
        <v>0.0</v>
      </c>
      <c r="V24" s="23">
        <v>0.0</v>
      </c>
      <c r="W24" s="23">
        <v>0.0</v>
      </c>
      <c r="X24" s="26">
        <f t="shared" si="4"/>
        <v>0</v>
      </c>
    </row>
    <row r="25">
      <c r="A25" s="20" t="s">
        <v>46</v>
      </c>
      <c r="B25" s="27">
        <v>1.0</v>
      </c>
      <c r="C25" s="23">
        <v>0.0</v>
      </c>
      <c r="D25" s="23">
        <v>1.0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5">
        <f t="shared" si="1"/>
        <v>1</v>
      </c>
      <c r="K25" s="23">
        <v>1.0</v>
      </c>
      <c r="L25" s="23">
        <v>0.0</v>
      </c>
      <c r="M25" s="25">
        <f t="shared" si="2"/>
        <v>1</v>
      </c>
      <c r="N25" s="23">
        <v>0.0</v>
      </c>
      <c r="O25" s="23">
        <v>0.0</v>
      </c>
      <c r="P25" s="23">
        <v>1.0</v>
      </c>
      <c r="Q25" s="23">
        <v>0.0</v>
      </c>
      <c r="R25" s="23">
        <v>0.0</v>
      </c>
      <c r="S25" s="26">
        <f t="shared" si="3"/>
        <v>1</v>
      </c>
      <c r="T25" s="23">
        <v>1.0</v>
      </c>
      <c r="U25" s="23">
        <v>0.0</v>
      </c>
      <c r="V25" s="23">
        <v>0.0</v>
      </c>
      <c r="W25" s="23">
        <v>0.0</v>
      </c>
      <c r="X25" s="26">
        <f t="shared" si="4"/>
        <v>1</v>
      </c>
    </row>
    <row r="26">
      <c r="A26" s="20" t="s">
        <v>47</v>
      </c>
      <c r="B26" s="27">
        <v>2.0</v>
      </c>
      <c r="C26" s="23">
        <v>0.0</v>
      </c>
      <c r="D26" s="23">
        <v>0.0</v>
      </c>
      <c r="E26" s="23">
        <v>0.0</v>
      </c>
      <c r="F26" s="23">
        <v>0.0</v>
      </c>
      <c r="G26" s="23">
        <v>0.0</v>
      </c>
      <c r="H26" s="23">
        <v>2.0</v>
      </c>
      <c r="I26" s="23">
        <v>0.0</v>
      </c>
      <c r="J26" s="25">
        <f t="shared" si="1"/>
        <v>2</v>
      </c>
      <c r="K26" s="23">
        <v>2.0</v>
      </c>
      <c r="L26" s="23">
        <v>0.0</v>
      </c>
      <c r="M26" s="25">
        <f t="shared" si="2"/>
        <v>2</v>
      </c>
      <c r="N26" s="23">
        <v>0.0</v>
      </c>
      <c r="O26" s="23">
        <v>2.0</v>
      </c>
      <c r="P26" s="23">
        <v>0.0</v>
      </c>
      <c r="Q26" s="23">
        <v>0.0</v>
      </c>
      <c r="R26" s="23">
        <v>0.0</v>
      </c>
      <c r="S26" s="26">
        <f t="shared" si="3"/>
        <v>2</v>
      </c>
      <c r="T26" s="23">
        <v>2.0</v>
      </c>
      <c r="U26" s="23">
        <v>0.0</v>
      </c>
      <c r="V26" s="23">
        <v>0.0</v>
      </c>
      <c r="W26" s="23">
        <v>0.0</v>
      </c>
      <c r="X26" s="26">
        <f t="shared" si="4"/>
        <v>2</v>
      </c>
    </row>
    <row r="27">
      <c r="A27" s="20" t="s">
        <v>48</v>
      </c>
      <c r="B27" s="21">
        <v>3.0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3.0</v>
      </c>
      <c r="I27" s="23">
        <v>0.0</v>
      </c>
      <c r="J27" s="25">
        <f t="shared" si="1"/>
        <v>3</v>
      </c>
      <c r="K27" s="23">
        <v>3.0</v>
      </c>
      <c r="L27" s="23">
        <v>0.0</v>
      </c>
      <c r="M27" s="25">
        <f t="shared" si="2"/>
        <v>3</v>
      </c>
      <c r="N27" s="23">
        <v>0.0</v>
      </c>
      <c r="O27" s="23">
        <v>0.0</v>
      </c>
      <c r="P27" s="24">
        <v>0.0</v>
      </c>
      <c r="Q27" s="23">
        <v>3.0</v>
      </c>
      <c r="R27" s="24">
        <v>0.0</v>
      </c>
      <c r="S27" s="26">
        <f t="shared" si="3"/>
        <v>3</v>
      </c>
      <c r="T27" s="23">
        <v>3.0</v>
      </c>
      <c r="U27" s="23">
        <v>0.0</v>
      </c>
      <c r="V27" s="23">
        <v>0.0</v>
      </c>
      <c r="W27" s="23">
        <v>0.0</v>
      </c>
      <c r="X27" s="26">
        <f t="shared" si="4"/>
        <v>3</v>
      </c>
    </row>
    <row r="28">
      <c r="A28" s="20" t="s">
        <v>49</v>
      </c>
      <c r="B28" s="21">
        <v>0.0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5">
        <f t="shared" si="1"/>
        <v>0</v>
      </c>
      <c r="K28" s="23">
        <v>0.0</v>
      </c>
      <c r="L28" s="23">
        <v>0.0</v>
      </c>
      <c r="M28" s="25">
        <f t="shared" si="2"/>
        <v>0</v>
      </c>
      <c r="N28" s="23">
        <v>0.0</v>
      </c>
      <c r="O28" s="23">
        <v>0.0</v>
      </c>
      <c r="P28" s="24">
        <v>0.0</v>
      </c>
      <c r="Q28" s="23">
        <v>0.0</v>
      </c>
      <c r="R28" s="24">
        <v>0.0</v>
      </c>
      <c r="S28" s="26">
        <f t="shared" si="3"/>
        <v>0</v>
      </c>
      <c r="T28" s="23">
        <v>0.0</v>
      </c>
      <c r="U28" s="23">
        <v>0.0</v>
      </c>
      <c r="V28" s="23">
        <v>0.0</v>
      </c>
      <c r="W28" s="23">
        <v>0.0</v>
      </c>
      <c r="X28" s="26">
        <f t="shared" si="4"/>
        <v>0</v>
      </c>
    </row>
    <row r="29">
      <c r="A29" s="20" t="s">
        <v>50</v>
      </c>
      <c r="B29" s="21">
        <v>4.0</v>
      </c>
      <c r="C29" s="22">
        <v>0.0</v>
      </c>
      <c r="D29" s="23">
        <v>2.0</v>
      </c>
      <c r="E29" s="23">
        <v>0.0</v>
      </c>
      <c r="F29" s="23">
        <v>0.0</v>
      </c>
      <c r="G29" s="23">
        <v>1.0</v>
      </c>
      <c r="H29" s="23">
        <v>1.0</v>
      </c>
      <c r="I29" s="23">
        <v>0.0</v>
      </c>
      <c r="J29" s="25">
        <f t="shared" si="1"/>
        <v>4</v>
      </c>
      <c r="K29" s="23">
        <v>4.0</v>
      </c>
      <c r="L29" s="23">
        <v>0.0</v>
      </c>
      <c r="M29" s="25">
        <f t="shared" si="2"/>
        <v>4</v>
      </c>
      <c r="N29" s="23">
        <v>0.0</v>
      </c>
      <c r="O29" s="23">
        <v>2.0</v>
      </c>
      <c r="P29" s="24">
        <v>2.0</v>
      </c>
      <c r="Q29" s="23">
        <v>0.0</v>
      </c>
      <c r="R29" s="24">
        <v>0.0</v>
      </c>
      <c r="S29" s="26">
        <f t="shared" si="3"/>
        <v>4</v>
      </c>
      <c r="T29" s="23">
        <v>3.0</v>
      </c>
      <c r="U29" s="23">
        <v>0.0</v>
      </c>
      <c r="V29" s="23">
        <v>1.0</v>
      </c>
      <c r="W29" s="23">
        <v>0.0</v>
      </c>
      <c r="X29" s="26">
        <f t="shared" si="4"/>
        <v>4</v>
      </c>
    </row>
    <row r="30">
      <c r="A30" s="20" t="s">
        <v>51</v>
      </c>
      <c r="B30" s="27">
        <v>1.0</v>
      </c>
      <c r="C30" s="23">
        <v>0.0</v>
      </c>
      <c r="D30" s="23">
        <v>1.0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5">
        <f t="shared" si="1"/>
        <v>1</v>
      </c>
      <c r="K30" s="23">
        <v>1.0</v>
      </c>
      <c r="L30" s="23">
        <v>0.0</v>
      </c>
      <c r="M30" s="25">
        <f t="shared" si="2"/>
        <v>1</v>
      </c>
      <c r="N30" s="23">
        <v>0.0</v>
      </c>
      <c r="O30" s="23">
        <v>0.0</v>
      </c>
      <c r="P30" s="23">
        <v>1.0</v>
      </c>
      <c r="Q30" s="23">
        <v>0.0</v>
      </c>
      <c r="R30" s="23">
        <v>0.0</v>
      </c>
      <c r="S30" s="26">
        <f t="shared" si="3"/>
        <v>1</v>
      </c>
      <c r="T30" s="23">
        <v>1.0</v>
      </c>
      <c r="U30" s="23">
        <v>0.0</v>
      </c>
      <c r="V30" s="23">
        <v>0.0</v>
      </c>
      <c r="W30" s="23">
        <v>0.0</v>
      </c>
      <c r="X30" s="26">
        <f t="shared" si="4"/>
        <v>1</v>
      </c>
    </row>
    <row r="31">
      <c r="A31" s="20" t="s">
        <v>52</v>
      </c>
      <c r="B31" s="27">
        <v>12.0</v>
      </c>
      <c r="C31" s="23">
        <v>0.0</v>
      </c>
      <c r="D31" s="23">
        <v>12.0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5">
        <f t="shared" si="1"/>
        <v>12</v>
      </c>
      <c r="K31" s="23">
        <v>12.0</v>
      </c>
      <c r="L31" s="23">
        <v>0.0</v>
      </c>
      <c r="M31" s="25">
        <f t="shared" si="2"/>
        <v>12</v>
      </c>
      <c r="N31" s="23">
        <v>2.0</v>
      </c>
      <c r="O31" s="23">
        <v>1.0</v>
      </c>
      <c r="P31" s="23">
        <v>8.0</v>
      </c>
      <c r="Q31" s="23">
        <v>1.0</v>
      </c>
      <c r="R31" s="23">
        <v>0.0</v>
      </c>
      <c r="S31" s="26">
        <f t="shared" si="3"/>
        <v>12</v>
      </c>
      <c r="T31" s="23">
        <v>9.0</v>
      </c>
      <c r="U31" s="23">
        <v>0.0</v>
      </c>
      <c r="V31" s="23">
        <v>3.0</v>
      </c>
      <c r="W31" s="23">
        <v>0.0</v>
      </c>
      <c r="X31" s="26">
        <f t="shared" si="4"/>
        <v>12</v>
      </c>
    </row>
    <row r="32">
      <c r="A32" s="20" t="s">
        <v>53</v>
      </c>
      <c r="B32" s="21">
        <v>0.0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5">
        <f t="shared" si="1"/>
        <v>0</v>
      </c>
      <c r="K32" s="23">
        <v>0.0</v>
      </c>
      <c r="L32" s="23">
        <v>0.0</v>
      </c>
      <c r="M32" s="25">
        <f t="shared" si="2"/>
        <v>0</v>
      </c>
      <c r="N32" s="23">
        <v>0.0</v>
      </c>
      <c r="O32" s="22">
        <v>0.0</v>
      </c>
      <c r="P32" s="24">
        <v>0.0</v>
      </c>
      <c r="Q32" s="22">
        <v>0.0</v>
      </c>
      <c r="R32" s="23">
        <v>0.0</v>
      </c>
      <c r="S32" s="26">
        <f t="shared" si="3"/>
        <v>0</v>
      </c>
      <c r="T32" s="23">
        <v>0.0</v>
      </c>
      <c r="U32" s="23">
        <v>0.0</v>
      </c>
      <c r="V32" s="23">
        <v>0.0</v>
      </c>
      <c r="W32" s="23">
        <v>0.0</v>
      </c>
      <c r="X32" s="26">
        <f t="shared" si="4"/>
        <v>0</v>
      </c>
    </row>
    <row r="33">
      <c r="A33" s="20" t="s">
        <v>54</v>
      </c>
      <c r="B33" s="21">
        <v>2.0</v>
      </c>
      <c r="C33" s="23">
        <v>0.0</v>
      </c>
      <c r="D33" s="23">
        <v>2.0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5">
        <f t="shared" si="1"/>
        <v>2</v>
      </c>
      <c r="K33" s="23">
        <v>2.0</v>
      </c>
      <c r="L33" s="23">
        <v>0.0</v>
      </c>
      <c r="M33" s="25">
        <f t="shared" si="2"/>
        <v>2</v>
      </c>
      <c r="N33" s="23">
        <v>0.0</v>
      </c>
      <c r="O33" s="23">
        <v>0.0</v>
      </c>
      <c r="P33" s="24">
        <v>2.0</v>
      </c>
      <c r="Q33" s="23">
        <v>0.0</v>
      </c>
      <c r="R33" s="23">
        <v>0.0</v>
      </c>
      <c r="S33" s="26">
        <f t="shared" si="3"/>
        <v>2</v>
      </c>
      <c r="T33" s="23">
        <v>2.0</v>
      </c>
      <c r="U33" s="23">
        <v>0.0</v>
      </c>
      <c r="V33" s="23">
        <v>0.0</v>
      </c>
      <c r="W33" s="23">
        <v>0.0</v>
      </c>
      <c r="X33" s="26">
        <f t="shared" si="4"/>
        <v>2</v>
      </c>
    </row>
    <row r="34">
      <c r="A34" s="20" t="s">
        <v>55</v>
      </c>
      <c r="B34" s="27">
        <v>4.0</v>
      </c>
      <c r="C34" s="23">
        <v>0.0</v>
      </c>
      <c r="D34" s="23">
        <v>4.0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5">
        <f t="shared" si="1"/>
        <v>4</v>
      </c>
      <c r="K34" s="23">
        <v>4.0</v>
      </c>
      <c r="L34" s="23">
        <v>0.0</v>
      </c>
      <c r="M34" s="25">
        <f t="shared" si="2"/>
        <v>4</v>
      </c>
      <c r="N34" s="23">
        <v>0.0</v>
      </c>
      <c r="O34" s="23">
        <v>0.0</v>
      </c>
      <c r="P34" s="23">
        <v>4.0</v>
      </c>
      <c r="Q34" s="23">
        <v>0.0</v>
      </c>
      <c r="R34" s="23">
        <v>0.0</v>
      </c>
      <c r="S34" s="26">
        <f t="shared" si="3"/>
        <v>4</v>
      </c>
      <c r="T34" s="23">
        <v>4.0</v>
      </c>
      <c r="U34" s="23">
        <v>0.0</v>
      </c>
      <c r="V34" s="23">
        <v>0.0</v>
      </c>
      <c r="W34" s="23">
        <v>0.0</v>
      </c>
      <c r="X34" s="26">
        <f t="shared" si="4"/>
        <v>4</v>
      </c>
    </row>
    <row r="35">
      <c r="A35" s="20" t="s">
        <v>56</v>
      </c>
      <c r="B35" s="27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31.0</v>
      </c>
      <c r="C36" s="23">
        <v>0.0</v>
      </c>
      <c r="D36" s="23">
        <v>30.0</v>
      </c>
      <c r="E36" s="23">
        <v>0.0</v>
      </c>
      <c r="F36" s="23">
        <v>0.0</v>
      </c>
      <c r="G36" s="23">
        <v>0.0</v>
      </c>
      <c r="H36" s="22">
        <v>1.0</v>
      </c>
      <c r="I36" s="23">
        <v>0.0</v>
      </c>
      <c r="J36" s="25">
        <f t="shared" si="1"/>
        <v>31</v>
      </c>
      <c r="K36" s="23">
        <v>31.0</v>
      </c>
      <c r="L36" s="23">
        <v>0.0</v>
      </c>
      <c r="M36" s="25">
        <f t="shared" si="2"/>
        <v>31</v>
      </c>
      <c r="N36" s="23">
        <v>7.0</v>
      </c>
      <c r="O36" s="23">
        <v>14.0</v>
      </c>
      <c r="P36" s="24">
        <v>10.0</v>
      </c>
      <c r="Q36" s="23">
        <v>0.0</v>
      </c>
      <c r="R36" s="23">
        <v>0.0</v>
      </c>
      <c r="S36" s="26">
        <f t="shared" si="3"/>
        <v>31</v>
      </c>
      <c r="T36" s="23">
        <v>29.0</v>
      </c>
      <c r="U36" s="23">
        <v>0.0</v>
      </c>
      <c r="V36" s="23">
        <v>0.0</v>
      </c>
      <c r="W36" s="23">
        <v>2.0</v>
      </c>
      <c r="X36" s="26">
        <f t="shared" si="4"/>
        <v>31</v>
      </c>
    </row>
    <row r="37">
      <c r="A37" s="20" t="s">
        <v>58</v>
      </c>
      <c r="B37" s="21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9">
        <v>0.0</v>
      </c>
      <c r="D38" s="29">
        <v>0.0</v>
      </c>
      <c r="E38" s="29">
        <v>0.0</v>
      </c>
      <c r="F38" s="29">
        <v>0.0</v>
      </c>
      <c r="G38" s="29">
        <v>0.0</v>
      </c>
      <c r="H38" s="29">
        <v>0.0</v>
      </c>
      <c r="I38" s="29">
        <v>0.0</v>
      </c>
      <c r="J38" s="25">
        <f t="shared" si="1"/>
        <v>0</v>
      </c>
      <c r="K38" s="29">
        <v>0.0</v>
      </c>
      <c r="L38" s="29">
        <v>0.0</v>
      </c>
      <c r="M38" s="25">
        <f t="shared" si="2"/>
        <v>0</v>
      </c>
      <c r="N38" s="29">
        <v>0.0</v>
      </c>
      <c r="O38" s="29">
        <v>0.0</v>
      </c>
      <c r="P38" s="29">
        <v>0.0</v>
      </c>
      <c r="Q38" s="29">
        <v>0.0</v>
      </c>
      <c r="R38" s="29">
        <v>0.0</v>
      </c>
      <c r="S38" s="26">
        <f t="shared" si="3"/>
        <v>0</v>
      </c>
      <c r="T38" s="29">
        <v>0.0</v>
      </c>
      <c r="U38" s="29">
        <v>0.0</v>
      </c>
      <c r="V38" s="29">
        <v>0.0</v>
      </c>
      <c r="W38" s="29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/>
      <c r="C39" s="29"/>
      <c r="D39" s="29"/>
      <c r="E39" s="29"/>
      <c r="F39" s="29"/>
      <c r="G39" s="29"/>
      <c r="H39" s="29"/>
      <c r="I39" s="29"/>
      <c r="J39" s="25"/>
      <c r="K39" s="29"/>
      <c r="L39" s="29"/>
      <c r="M39" s="25"/>
      <c r="N39" s="29">
        <v>0.0</v>
      </c>
      <c r="O39" s="29">
        <v>0.0</v>
      </c>
      <c r="P39" s="29">
        <v>0.0</v>
      </c>
      <c r="Q39" s="29">
        <v>0.0</v>
      </c>
      <c r="R39" s="29">
        <v>0.0</v>
      </c>
      <c r="S39" s="29">
        <v>0.0</v>
      </c>
      <c r="T39" s="29"/>
      <c r="U39" s="29"/>
      <c r="V39" s="29"/>
      <c r="W39" s="29"/>
      <c r="X39" s="26"/>
      <c r="Y39" s="30"/>
      <c r="Z39" s="30"/>
    </row>
    <row r="40">
      <c r="A40" s="20" t="s">
        <v>61</v>
      </c>
      <c r="B40" s="28">
        <v>0.0</v>
      </c>
      <c r="C40" s="29">
        <v>0.0</v>
      </c>
      <c r="D40" s="29">
        <v>0.0</v>
      </c>
      <c r="E40" s="29">
        <v>0.0</v>
      </c>
      <c r="F40" s="29">
        <v>0.0</v>
      </c>
      <c r="G40" s="29">
        <v>0.0</v>
      </c>
      <c r="H40" s="29">
        <v>0.0</v>
      </c>
      <c r="I40" s="29">
        <v>0.0</v>
      </c>
      <c r="J40" s="25">
        <f t="shared" ref="J40:J53" si="5">sum(C40:I40)</f>
        <v>0</v>
      </c>
      <c r="K40" s="29">
        <v>0.0</v>
      </c>
      <c r="L40" s="29">
        <v>0.0</v>
      </c>
      <c r="M40" s="25">
        <f t="shared" ref="M40:M53" si="6">sum(K40:L40)</f>
        <v>0</v>
      </c>
      <c r="N40" s="29">
        <v>0.0</v>
      </c>
      <c r="O40" s="29">
        <v>0.0</v>
      </c>
      <c r="P40" s="29">
        <v>0.0</v>
      </c>
      <c r="Q40" s="29">
        <v>0.0</v>
      </c>
      <c r="R40" s="29">
        <v>0.0</v>
      </c>
      <c r="S40" s="26">
        <f t="shared" ref="S40:S53" si="7">sum(N40:R40)</f>
        <v>0</v>
      </c>
      <c r="T40" s="29">
        <v>0.0</v>
      </c>
      <c r="U40" s="29">
        <v>0.0</v>
      </c>
      <c r="V40" s="29">
        <v>0.0</v>
      </c>
      <c r="W40" s="29">
        <v>0.0</v>
      </c>
      <c r="X40" s="26">
        <f t="shared" ref="X40:X53" si="8">sum(T40:W40)</f>
        <v>0</v>
      </c>
      <c r="Y40" s="30"/>
      <c r="Z40" s="30"/>
    </row>
    <row r="41">
      <c r="A41" s="20" t="s">
        <v>62</v>
      </c>
      <c r="B41" s="27">
        <v>4.0</v>
      </c>
      <c r="C41" s="23">
        <v>0.0</v>
      </c>
      <c r="D41" s="23">
        <v>3.0</v>
      </c>
      <c r="E41" s="23">
        <v>0.0</v>
      </c>
      <c r="F41" s="23">
        <v>0.0</v>
      </c>
      <c r="G41" s="23">
        <v>0.0</v>
      </c>
      <c r="H41" s="23">
        <v>1.0</v>
      </c>
      <c r="I41" s="23">
        <v>0.0</v>
      </c>
      <c r="J41" s="25">
        <f t="shared" si="5"/>
        <v>4</v>
      </c>
      <c r="K41" s="23">
        <v>3.0</v>
      </c>
      <c r="L41" s="23">
        <v>1.0</v>
      </c>
      <c r="M41" s="25">
        <f t="shared" si="6"/>
        <v>4</v>
      </c>
      <c r="N41" s="23">
        <v>1.0</v>
      </c>
      <c r="O41" s="23">
        <v>1.0</v>
      </c>
      <c r="P41" s="23">
        <v>2.0</v>
      </c>
      <c r="Q41" s="23">
        <v>0.0</v>
      </c>
      <c r="R41" s="23">
        <v>0.0</v>
      </c>
      <c r="S41" s="26">
        <f t="shared" si="7"/>
        <v>4</v>
      </c>
      <c r="T41" s="23">
        <v>3.0</v>
      </c>
      <c r="U41" s="23">
        <v>0.0</v>
      </c>
      <c r="V41" s="23">
        <v>0.0</v>
      </c>
      <c r="W41" s="23">
        <v>1.0</v>
      </c>
      <c r="X41" s="26">
        <f t="shared" si="8"/>
        <v>4</v>
      </c>
    </row>
    <row r="42">
      <c r="A42" s="20" t="s">
        <v>63</v>
      </c>
      <c r="B42" s="27">
        <v>2.0</v>
      </c>
      <c r="C42" s="23">
        <v>0.0</v>
      </c>
      <c r="D42" s="23">
        <v>2.0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5">
        <f t="shared" si="5"/>
        <v>2</v>
      </c>
      <c r="K42" s="23">
        <v>2.0</v>
      </c>
      <c r="L42" s="23">
        <v>0.0</v>
      </c>
      <c r="M42" s="25">
        <f t="shared" si="6"/>
        <v>2</v>
      </c>
      <c r="N42" s="23">
        <v>0.0</v>
      </c>
      <c r="O42" s="23">
        <v>1.0</v>
      </c>
      <c r="P42" s="23">
        <v>1.0</v>
      </c>
      <c r="Q42" s="23">
        <v>0.0</v>
      </c>
      <c r="R42" s="23">
        <v>0.0</v>
      </c>
      <c r="S42" s="26">
        <f t="shared" si="7"/>
        <v>2</v>
      </c>
      <c r="T42" s="23">
        <v>2.0</v>
      </c>
      <c r="U42" s="23">
        <v>0.0</v>
      </c>
      <c r="V42" s="23">
        <v>0.0</v>
      </c>
      <c r="W42" s="23">
        <v>0.0</v>
      </c>
      <c r="X42" s="26">
        <f t="shared" si="8"/>
        <v>2</v>
      </c>
    </row>
    <row r="43">
      <c r="A43" s="20" t="s">
        <v>64</v>
      </c>
      <c r="B43" s="27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5">
        <f t="shared" si="5"/>
        <v>0</v>
      </c>
      <c r="K43" s="23">
        <v>0.0</v>
      </c>
      <c r="L43" s="23">
        <v>0.0</v>
      </c>
      <c r="M43" s="25">
        <f t="shared" si="6"/>
        <v>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6">
        <f t="shared" si="7"/>
        <v>0</v>
      </c>
      <c r="T43" s="23">
        <v>0.0</v>
      </c>
      <c r="U43" s="23">
        <v>0.0</v>
      </c>
      <c r="V43" s="23">
        <v>0.0</v>
      </c>
      <c r="W43" s="23">
        <v>0.0</v>
      </c>
      <c r="X43" s="26">
        <f t="shared" si="8"/>
        <v>0</v>
      </c>
    </row>
    <row r="44">
      <c r="A44" s="20" t="s">
        <v>65</v>
      </c>
      <c r="B44" s="27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5">
        <f t="shared" si="5"/>
        <v>0</v>
      </c>
      <c r="K44" s="23">
        <v>0.0</v>
      </c>
      <c r="L44" s="23">
        <v>0.0</v>
      </c>
      <c r="M44" s="25">
        <f t="shared" si="6"/>
        <v>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6">
        <f t="shared" si="7"/>
        <v>0</v>
      </c>
      <c r="T44" s="23">
        <v>0.0</v>
      </c>
      <c r="U44" s="23">
        <v>0.0</v>
      </c>
      <c r="V44" s="23">
        <v>0.0</v>
      </c>
      <c r="W44" s="23">
        <v>0.0</v>
      </c>
      <c r="X44" s="26">
        <f t="shared" si="8"/>
        <v>0</v>
      </c>
    </row>
    <row r="45">
      <c r="A45" s="20" t="s">
        <v>66</v>
      </c>
      <c r="B45" s="27">
        <v>2.0</v>
      </c>
      <c r="C45" s="23">
        <v>0.0</v>
      </c>
      <c r="D45" s="23">
        <v>2.0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25">
        <f t="shared" si="5"/>
        <v>2</v>
      </c>
      <c r="K45" s="23">
        <v>2.0</v>
      </c>
      <c r="L45" s="23">
        <v>0.0</v>
      </c>
      <c r="M45" s="25">
        <f t="shared" si="6"/>
        <v>2</v>
      </c>
      <c r="N45" s="23">
        <v>0.0</v>
      </c>
      <c r="O45" s="23">
        <v>1.0</v>
      </c>
      <c r="P45" s="23">
        <v>1.0</v>
      </c>
      <c r="Q45" s="23">
        <v>0.0</v>
      </c>
      <c r="R45" s="23">
        <v>0.0</v>
      </c>
      <c r="S45" s="26">
        <f t="shared" si="7"/>
        <v>2</v>
      </c>
      <c r="T45" s="23">
        <v>1.0</v>
      </c>
      <c r="U45" s="23">
        <v>0.0</v>
      </c>
      <c r="V45" s="23">
        <v>1.0</v>
      </c>
      <c r="W45" s="23">
        <v>0.0</v>
      </c>
      <c r="X45" s="26">
        <f t="shared" si="8"/>
        <v>2</v>
      </c>
    </row>
    <row r="46">
      <c r="A46" s="20" t="s">
        <v>67</v>
      </c>
      <c r="B46" s="27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5">
        <f t="shared" si="5"/>
        <v>0</v>
      </c>
      <c r="K46" s="23">
        <v>0.0</v>
      </c>
      <c r="L46" s="23">
        <v>0.0</v>
      </c>
      <c r="M46" s="25">
        <f t="shared" si="6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6">
        <f t="shared" si="7"/>
        <v>0</v>
      </c>
      <c r="T46" s="23">
        <v>0.0</v>
      </c>
      <c r="U46" s="23">
        <v>0.0</v>
      </c>
      <c r="V46" s="23">
        <v>0.0</v>
      </c>
      <c r="W46" s="23">
        <v>0.0</v>
      </c>
      <c r="X46" s="26">
        <f t="shared" si="8"/>
        <v>0</v>
      </c>
    </row>
    <row r="47">
      <c r="A47" s="20" t="s">
        <v>68</v>
      </c>
      <c r="B47" s="27">
        <v>7.0</v>
      </c>
      <c r="C47" s="23">
        <v>1.0</v>
      </c>
      <c r="D47" s="23">
        <v>3.0</v>
      </c>
      <c r="E47" s="23">
        <v>0.0</v>
      </c>
      <c r="F47" s="23">
        <v>0.0</v>
      </c>
      <c r="G47" s="23">
        <v>0.0</v>
      </c>
      <c r="H47" s="23">
        <v>3.0</v>
      </c>
      <c r="I47" s="23">
        <v>0.0</v>
      </c>
      <c r="J47" s="25">
        <f t="shared" si="5"/>
        <v>7</v>
      </c>
      <c r="K47" s="23">
        <v>7.0</v>
      </c>
      <c r="L47" s="23">
        <v>0.0</v>
      </c>
      <c r="M47" s="25">
        <f t="shared" si="6"/>
        <v>7</v>
      </c>
      <c r="N47" s="23">
        <v>7.0</v>
      </c>
      <c r="O47" s="23">
        <v>0.0</v>
      </c>
      <c r="P47" s="23">
        <v>0.0</v>
      </c>
      <c r="Q47" s="23">
        <v>0.0</v>
      </c>
      <c r="R47" s="23">
        <v>0.0</v>
      </c>
      <c r="S47" s="26">
        <f t="shared" si="7"/>
        <v>7</v>
      </c>
      <c r="T47" s="23">
        <v>7.0</v>
      </c>
      <c r="U47" s="23">
        <v>0.0</v>
      </c>
      <c r="V47" s="23">
        <v>0.0</v>
      </c>
      <c r="W47" s="23">
        <v>0.0</v>
      </c>
      <c r="X47" s="26">
        <f t="shared" si="8"/>
        <v>7</v>
      </c>
    </row>
    <row r="48">
      <c r="A48" s="20" t="s">
        <v>69</v>
      </c>
      <c r="B48" s="21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5">
        <f t="shared" si="5"/>
        <v>0</v>
      </c>
      <c r="K48" s="23">
        <v>0.0</v>
      </c>
      <c r="L48" s="23">
        <v>0.0</v>
      </c>
      <c r="M48" s="25">
        <f t="shared" si="6"/>
        <v>0</v>
      </c>
      <c r="N48" s="23">
        <v>0.0</v>
      </c>
      <c r="O48" s="24">
        <v>0.0</v>
      </c>
      <c r="P48" s="23">
        <v>0.0</v>
      </c>
      <c r="Q48" s="23">
        <v>0.0</v>
      </c>
      <c r="R48" s="23">
        <v>0.0</v>
      </c>
      <c r="S48" s="26">
        <f t="shared" si="7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8"/>
        <v>0</v>
      </c>
    </row>
    <row r="49">
      <c r="A49" s="20" t="s">
        <v>70</v>
      </c>
      <c r="B49" s="21">
        <v>2.0</v>
      </c>
      <c r="C49" s="22">
        <v>0.0</v>
      </c>
      <c r="D49" s="23">
        <v>0.0</v>
      </c>
      <c r="E49" s="23">
        <v>0.0</v>
      </c>
      <c r="F49" s="23">
        <v>0.0</v>
      </c>
      <c r="G49" s="23">
        <v>0.0</v>
      </c>
      <c r="H49" s="23">
        <v>2.0</v>
      </c>
      <c r="I49" s="23">
        <v>0.0</v>
      </c>
      <c r="J49" s="25">
        <f t="shared" si="5"/>
        <v>2</v>
      </c>
      <c r="K49" s="23">
        <v>2.0</v>
      </c>
      <c r="L49" s="24">
        <v>0.0</v>
      </c>
      <c r="M49" s="25">
        <f t="shared" si="6"/>
        <v>2</v>
      </c>
      <c r="N49" s="23">
        <v>0.0</v>
      </c>
      <c r="O49" s="22">
        <v>2.0</v>
      </c>
      <c r="P49" s="24">
        <v>0.0</v>
      </c>
      <c r="Q49" s="23">
        <v>0.0</v>
      </c>
      <c r="R49" s="22">
        <v>0.0</v>
      </c>
      <c r="S49" s="26">
        <f t="shared" si="7"/>
        <v>2</v>
      </c>
      <c r="T49" s="23">
        <v>1.0</v>
      </c>
      <c r="U49" s="23">
        <v>0.0</v>
      </c>
      <c r="V49" s="23">
        <v>1.0</v>
      </c>
      <c r="W49" s="24">
        <v>0.0</v>
      </c>
      <c r="X49" s="26">
        <f t="shared" si="8"/>
        <v>2</v>
      </c>
    </row>
    <row r="50">
      <c r="A50" s="20" t="s">
        <v>71</v>
      </c>
      <c r="B50" s="21">
        <v>5.0</v>
      </c>
      <c r="C50" s="22">
        <v>0.0</v>
      </c>
      <c r="D50" s="23">
        <v>4.0</v>
      </c>
      <c r="E50" s="23">
        <v>0.0</v>
      </c>
      <c r="F50" s="23">
        <v>0.0</v>
      </c>
      <c r="G50" s="23">
        <v>0.0</v>
      </c>
      <c r="H50" s="23">
        <v>1.0</v>
      </c>
      <c r="I50" s="23">
        <v>0.0</v>
      </c>
      <c r="J50" s="25">
        <f t="shared" si="5"/>
        <v>5</v>
      </c>
      <c r="K50" s="23">
        <v>2.0</v>
      </c>
      <c r="L50" s="23">
        <v>3.0</v>
      </c>
      <c r="M50" s="25">
        <f t="shared" si="6"/>
        <v>5</v>
      </c>
      <c r="N50" s="23">
        <v>1.0</v>
      </c>
      <c r="O50" s="22">
        <v>3.0</v>
      </c>
      <c r="P50" s="23">
        <v>0.0</v>
      </c>
      <c r="Q50" s="23">
        <v>1.0</v>
      </c>
      <c r="R50" s="24">
        <v>0.0</v>
      </c>
      <c r="S50" s="26">
        <f t="shared" si="7"/>
        <v>5</v>
      </c>
      <c r="T50" s="23">
        <v>3.0</v>
      </c>
      <c r="U50" s="23">
        <v>0.0</v>
      </c>
      <c r="V50" s="23">
        <v>2.0</v>
      </c>
      <c r="W50" s="23">
        <v>0.0</v>
      </c>
      <c r="X50" s="26">
        <f t="shared" si="8"/>
        <v>5</v>
      </c>
    </row>
    <row r="51">
      <c r="A51" s="20" t="s">
        <v>72</v>
      </c>
      <c r="B51" s="21">
        <v>0.0</v>
      </c>
      <c r="C51" s="22">
        <v>0.0</v>
      </c>
      <c r="D51" s="22">
        <v>0.0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5">
        <f t="shared" si="5"/>
        <v>0</v>
      </c>
      <c r="K51" s="22">
        <v>0.0</v>
      </c>
      <c r="L51" s="22">
        <v>0.0</v>
      </c>
      <c r="M51" s="25">
        <f t="shared" si="6"/>
        <v>0</v>
      </c>
      <c r="N51" s="22">
        <v>0.0</v>
      </c>
      <c r="O51" s="22">
        <v>0.0</v>
      </c>
      <c r="P51" s="22">
        <v>0.0</v>
      </c>
      <c r="Q51" s="22">
        <v>0.0</v>
      </c>
      <c r="R51" s="22">
        <v>0.0</v>
      </c>
      <c r="S51" s="26">
        <f t="shared" si="7"/>
        <v>0</v>
      </c>
      <c r="T51" s="22">
        <v>0.0</v>
      </c>
      <c r="U51" s="22">
        <v>0.0</v>
      </c>
      <c r="V51" s="22">
        <v>0.0</v>
      </c>
      <c r="W51" s="22">
        <v>0.0</v>
      </c>
      <c r="X51" s="26">
        <f t="shared" si="8"/>
        <v>0</v>
      </c>
    </row>
    <row r="52">
      <c r="A52" s="20" t="s">
        <v>73</v>
      </c>
      <c r="B52" s="31">
        <v>3.0</v>
      </c>
      <c r="C52" s="31">
        <v>0.0</v>
      </c>
      <c r="D52" s="31">
        <v>3.0</v>
      </c>
      <c r="E52" s="31">
        <v>0.0</v>
      </c>
      <c r="F52" s="31">
        <v>0.0</v>
      </c>
      <c r="G52" s="31">
        <v>0.0</v>
      </c>
      <c r="H52" s="31">
        <v>0.0</v>
      </c>
      <c r="I52" s="31">
        <v>0.0</v>
      </c>
      <c r="J52" s="25">
        <f t="shared" si="5"/>
        <v>3</v>
      </c>
      <c r="K52" s="32">
        <v>3.0</v>
      </c>
      <c r="L52" s="32">
        <v>0.0</v>
      </c>
      <c r="M52" s="25">
        <f t="shared" si="6"/>
        <v>3</v>
      </c>
      <c r="N52" s="32">
        <v>3.0</v>
      </c>
      <c r="O52" s="32">
        <v>0.0</v>
      </c>
      <c r="P52" s="32">
        <v>0.0</v>
      </c>
      <c r="Q52" s="32">
        <v>0.0</v>
      </c>
      <c r="R52" s="32">
        <v>0.0</v>
      </c>
      <c r="S52" s="26">
        <f t="shared" si="7"/>
        <v>3</v>
      </c>
      <c r="T52" s="31">
        <v>3.0</v>
      </c>
      <c r="U52" s="31">
        <v>0.0</v>
      </c>
      <c r="V52" s="31">
        <v>0.0</v>
      </c>
      <c r="W52" s="31">
        <v>0.0</v>
      </c>
      <c r="X52" s="26">
        <f t="shared" si="8"/>
        <v>3</v>
      </c>
    </row>
    <row r="53">
      <c r="A53" s="20" t="s">
        <v>74</v>
      </c>
      <c r="B53" s="31">
        <v>0.0</v>
      </c>
      <c r="C53" s="31">
        <v>0.0</v>
      </c>
      <c r="D53" s="31">
        <v>0.0</v>
      </c>
      <c r="E53" s="31">
        <v>0.0</v>
      </c>
      <c r="F53" s="31">
        <v>0.0</v>
      </c>
      <c r="G53" s="31">
        <v>0.0</v>
      </c>
      <c r="H53" s="31">
        <v>0.0</v>
      </c>
      <c r="I53" s="31">
        <v>0.0</v>
      </c>
      <c r="J53" s="25">
        <f t="shared" si="5"/>
        <v>0</v>
      </c>
      <c r="K53" s="31">
        <v>0.0</v>
      </c>
      <c r="L53" s="31">
        <v>0.0</v>
      </c>
      <c r="M53" s="25">
        <f t="shared" si="6"/>
        <v>0</v>
      </c>
      <c r="N53" s="31">
        <v>0.0</v>
      </c>
      <c r="O53" s="31">
        <v>0.0</v>
      </c>
      <c r="P53" s="31">
        <v>0.0</v>
      </c>
      <c r="Q53" s="31">
        <v>0.0</v>
      </c>
      <c r="R53" s="31">
        <v>0.0</v>
      </c>
      <c r="S53" s="26">
        <f t="shared" si="7"/>
        <v>0</v>
      </c>
      <c r="T53" s="31">
        <v>0.0</v>
      </c>
      <c r="U53" s="31">
        <v>0.0</v>
      </c>
      <c r="V53" s="31">
        <v>0.0</v>
      </c>
      <c r="W53" s="31">
        <v>0.0</v>
      </c>
      <c r="X53" s="26">
        <f t="shared" si="8"/>
        <v>0</v>
      </c>
    </row>
    <row r="54">
      <c r="A54" s="33" t="s">
        <v>75</v>
      </c>
      <c r="B54" s="31"/>
      <c r="C54" s="31"/>
      <c r="D54" s="31"/>
      <c r="E54" s="31"/>
      <c r="F54" s="31"/>
      <c r="G54" s="31"/>
      <c r="H54" s="31"/>
      <c r="I54" s="31"/>
      <c r="J54" s="25"/>
      <c r="K54" s="31"/>
      <c r="L54" s="31"/>
      <c r="M54" s="25"/>
      <c r="N54" s="31"/>
      <c r="O54" s="31"/>
      <c r="P54" s="31"/>
      <c r="Q54" s="31"/>
      <c r="R54" s="31"/>
      <c r="S54" s="26"/>
      <c r="T54" s="31"/>
      <c r="U54" s="31"/>
      <c r="V54" s="31"/>
      <c r="W54" s="31"/>
      <c r="X54" s="26"/>
    </row>
    <row r="55">
      <c r="A55" s="20" t="s">
        <v>76</v>
      </c>
      <c r="B55" s="31">
        <v>0.0</v>
      </c>
      <c r="C55" s="31">
        <v>0.0</v>
      </c>
      <c r="D55" s="31">
        <v>0.0</v>
      </c>
      <c r="E55" s="31">
        <v>0.0</v>
      </c>
      <c r="F55" s="31">
        <v>0.0</v>
      </c>
      <c r="G55" s="31">
        <v>0.0</v>
      </c>
      <c r="H55" s="31">
        <v>0.0</v>
      </c>
      <c r="I55" s="31">
        <v>0.0</v>
      </c>
      <c r="J55" s="25">
        <f t="shared" ref="J55:J58" si="9">sum(C55:I55)</f>
        <v>0</v>
      </c>
      <c r="K55" s="31">
        <v>0.0</v>
      </c>
      <c r="L55" s="31">
        <v>0.0</v>
      </c>
      <c r="M55" s="25">
        <f t="shared" ref="M55:M58" si="10">sum(K55:L55)</f>
        <v>0</v>
      </c>
      <c r="N55" s="31">
        <v>0.0</v>
      </c>
      <c r="O55" s="31">
        <v>0.0</v>
      </c>
      <c r="P55" s="31">
        <v>0.0</v>
      </c>
      <c r="Q55" s="31">
        <v>0.0</v>
      </c>
      <c r="R55" s="31">
        <v>0.0</v>
      </c>
      <c r="S55" s="26">
        <f t="shared" ref="S55:S58" si="11">sum(N55:R55)</f>
        <v>0</v>
      </c>
      <c r="T55" s="31">
        <v>0.0</v>
      </c>
      <c r="U55" s="31">
        <v>0.0</v>
      </c>
      <c r="V55" s="31">
        <v>0.0</v>
      </c>
      <c r="W55" s="31">
        <v>0.0</v>
      </c>
      <c r="X55" s="26">
        <f t="shared" ref="X55:X58" si="12">sum(T55:W55)</f>
        <v>0</v>
      </c>
    </row>
    <row r="56">
      <c r="A56" s="20" t="s">
        <v>77</v>
      </c>
      <c r="B56" s="31">
        <v>1.0</v>
      </c>
      <c r="C56" s="31">
        <v>0.0</v>
      </c>
      <c r="D56" s="31">
        <v>0.0</v>
      </c>
      <c r="E56" s="31">
        <v>0.0</v>
      </c>
      <c r="F56" s="31">
        <v>0.0</v>
      </c>
      <c r="G56" s="31">
        <v>0.0</v>
      </c>
      <c r="H56" s="31">
        <v>1.0</v>
      </c>
      <c r="I56" s="31">
        <v>0.0</v>
      </c>
      <c r="J56" s="25">
        <f t="shared" si="9"/>
        <v>1</v>
      </c>
      <c r="K56" s="31">
        <v>1.0</v>
      </c>
      <c r="L56" s="31">
        <v>0.0</v>
      </c>
      <c r="M56" s="25">
        <f t="shared" si="10"/>
        <v>1</v>
      </c>
      <c r="N56" s="31">
        <v>0.0</v>
      </c>
      <c r="O56" s="31">
        <v>0.0</v>
      </c>
      <c r="P56" s="31">
        <v>1.0</v>
      </c>
      <c r="Q56" s="31">
        <v>0.0</v>
      </c>
      <c r="R56" s="31">
        <v>0.0</v>
      </c>
      <c r="S56" s="26">
        <f t="shared" si="11"/>
        <v>1</v>
      </c>
      <c r="T56" s="31">
        <v>1.0</v>
      </c>
      <c r="U56" s="31">
        <v>0.0</v>
      </c>
      <c r="V56" s="31">
        <v>0.0</v>
      </c>
      <c r="W56" s="31">
        <v>0.0</v>
      </c>
      <c r="X56" s="26">
        <f t="shared" si="12"/>
        <v>1</v>
      </c>
    </row>
    <row r="57">
      <c r="A57" s="20" t="s">
        <v>78</v>
      </c>
      <c r="B57" s="34">
        <v>0.0</v>
      </c>
      <c r="C57" s="31">
        <v>0.0</v>
      </c>
      <c r="D57" s="31">
        <v>0.0</v>
      </c>
      <c r="E57" s="31">
        <v>0.0</v>
      </c>
      <c r="F57" s="31">
        <v>0.0</v>
      </c>
      <c r="G57" s="31">
        <v>0.0</v>
      </c>
      <c r="H57" s="31">
        <v>0.0</v>
      </c>
      <c r="I57" s="31">
        <v>0.0</v>
      </c>
      <c r="J57" s="25">
        <f t="shared" si="9"/>
        <v>0</v>
      </c>
      <c r="K57" s="31">
        <v>0.0</v>
      </c>
      <c r="L57" s="31">
        <v>0.0</v>
      </c>
      <c r="M57" s="25">
        <f t="shared" si="10"/>
        <v>0</v>
      </c>
      <c r="N57" s="31">
        <v>0.0</v>
      </c>
      <c r="O57" s="31">
        <v>0.0</v>
      </c>
      <c r="P57" s="31">
        <v>0.0</v>
      </c>
      <c r="Q57" s="31">
        <v>0.0</v>
      </c>
      <c r="R57" s="31">
        <v>0.0</v>
      </c>
      <c r="S57" s="26">
        <f t="shared" si="11"/>
        <v>0</v>
      </c>
      <c r="T57" s="31">
        <v>0.0</v>
      </c>
      <c r="U57" s="31">
        <v>0.0</v>
      </c>
      <c r="V57" s="31">
        <v>0.0</v>
      </c>
      <c r="W57" s="31">
        <v>0.0</v>
      </c>
      <c r="X57" s="26">
        <f t="shared" si="12"/>
        <v>0</v>
      </c>
    </row>
    <row r="58">
      <c r="A58" s="20" t="s">
        <v>79</v>
      </c>
      <c r="B58" s="31">
        <v>0.0</v>
      </c>
      <c r="C58" s="31">
        <v>0.0</v>
      </c>
      <c r="D58" s="31">
        <v>0.0</v>
      </c>
      <c r="E58" s="31">
        <v>0.0</v>
      </c>
      <c r="F58" s="31">
        <v>0.0</v>
      </c>
      <c r="G58" s="31">
        <v>0.0</v>
      </c>
      <c r="H58" s="31">
        <v>0.0</v>
      </c>
      <c r="I58" s="31">
        <v>0.0</v>
      </c>
      <c r="J58" s="25">
        <f t="shared" si="9"/>
        <v>0</v>
      </c>
      <c r="K58" s="31">
        <v>0.0</v>
      </c>
      <c r="L58" s="31">
        <v>0.0</v>
      </c>
      <c r="M58" s="25">
        <f t="shared" si="10"/>
        <v>0</v>
      </c>
      <c r="N58" s="31">
        <v>0.0</v>
      </c>
      <c r="O58" s="31">
        <v>0.0</v>
      </c>
      <c r="P58" s="31">
        <v>0.0</v>
      </c>
      <c r="Q58" s="31">
        <v>0.0</v>
      </c>
      <c r="R58" s="31">
        <v>0.0</v>
      </c>
      <c r="S58" s="26">
        <f t="shared" si="11"/>
        <v>0</v>
      </c>
      <c r="T58" s="31">
        <v>0.0</v>
      </c>
      <c r="U58" s="31">
        <v>0.0</v>
      </c>
      <c r="V58" s="31">
        <v>0.0</v>
      </c>
      <c r="W58" s="31">
        <v>0.0</v>
      </c>
      <c r="X58" s="26">
        <f t="shared" si="12"/>
        <v>0</v>
      </c>
    </row>
    <row r="59">
      <c r="A59" s="20" t="s">
        <v>80</v>
      </c>
      <c r="B59" s="31"/>
      <c r="C59" s="31"/>
      <c r="D59" s="31"/>
      <c r="E59" s="31"/>
      <c r="F59" s="31"/>
      <c r="G59" s="31"/>
      <c r="H59" s="31"/>
      <c r="I59" s="31"/>
      <c r="J59" s="25"/>
      <c r="K59" s="31"/>
      <c r="L59" s="31"/>
      <c r="M59" s="25"/>
      <c r="N59" s="31"/>
      <c r="O59" s="31"/>
      <c r="P59" s="31"/>
      <c r="Q59" s="31"/>
      <c r="R59" s="31"/>
      <c r="S59" s="26"/>
      <c r="T59" s="31"/>
      <c r="U59" s="31"/>
      <c r="V59" s="31"/>
      <c r="W59" s="31"/>
      <c r="X59" s="26"/>
    </row>
    <row r="60">
      <c r="A60" s="20" t="s">
        <v>81</v>
      </c>
      <c r="B60" s="31">
        <v>0.0</v>
      </c>
      <c r="C60" s="31">
        <v>0.0</v>
      </c>
      <c r="D60" s="31">
        <v>0.0</v>
      </c>
      <c r="E60" s="31">
        <v>0.0</v>
      </c>
      <c r="F60" s="31">
        <v>0.0</v>
      </c>
      <c r="G60" s="31">
        <v>0.0</v>
      </c>
      <c r="H60" s="31">
        <v>0.0</v>
      </c>
      <c r="I60" s="31">
        <v>0.0</v>
      </c>
      <c r="J60" s="25">
        <f t="shared" ref="J60:J65" si="13">sum(C60:I60)</f>
        <v>0</v>
      </c>
      <c r="K60" s="31">
        <v>0.0</v>
      </c>
      <c r="L60" s="31">
        <v>0.0</v>
      </c>
      <c r="M60" s="25">
        <f t="shared" ref="M60:M65" si="14">sum(K60:L60)</f>
        <v>0</v>
      </c>
      <c r="N60" s="31">
        <v>0.0</v>
      </c>
      <c r="O60" s="31">
        <v>0.0</v>
      </c>
      <c r="P60" s="31">
        <v>0.0</v>
      </c>
      <c r="Q60" s="31">
        <v>0.0</v>
      </c>
      <c r="R60" s="31">
        <v>0.0</v>
      </c>
      <c r="S60" s="26">
        <f t="shared" ref="S60:S65" si="15">sum(N60:R60)</f>
        <v>0</v>
      </c>
      <c r="T60" s="31">
        <v>0.0</v>
      </c>
      <c r="U60" s="31">
        <v>0.0</v>
      </c>
      <c r="V60" s="31">
        <v>0.0</v>
      </c>
      <c r="W60" s="31">
        <v>0.0</v>
      </c>
      <c r="X60" s="26">
        <f t="shared" ref="X60:X65" si="16">sum(T60:W60)</f>
        <v>0</v>
      </c>
    </row>
    <row r="61">
      <c r="A61" s="20" t="s">
        <v>82</v>
      </c>
      <c r="B61" s="31">
        <v>1.0</v>
      </c>
      <c r="C61" s="31">
        <v>0.0</v>
      </c>
      <c r="D61" s="31">
        <v>1.0</v>
      </c>
      <c r="E61" s="31">
        <v>0.0</v>
      </c>
      <c r="F61" s="31">
        <v>0.0</v>
      </c>
      <c r="G61" s="31">
        <v>0.0</v>
      </c>
      <c r="H61" s="31">
        <v>0.0</v>
      </c>
      <c r="I61" s="31">
        <v>0.0</v>
      </c>
      <c r="J61" s="25">
        <f t="shared" si="13"/>
        <v>1</v>
      </c>
      <c r="K61" s="31">
        <v>0.0</v>
      </c>
      <c r="L61" s="31">
        <v>1.0</v>
      </c>
      <c r="M61" s="25">
        <f t="shared" si="14"/>
        <v>1</v>
      </c>
      <c r="N61" s="31">
        <v>0.0</v>
      </c>
      <c r="O61" s="31">
        <v>1.0</v>
      </c>
      <c r="P61" s="31">
        <v>0.0</v>
      </c>
      <c r="Q61" s="31">
        <v>0.0</v>
      </c>
      <c r="R61" s="31">
        <v>0.0</v>
      </c>
      <c r="S61" s="26">
        <f t="shared" si="15"/>
        <v>1</v>
      </c>
      <c r="T61" s="31">
        <v>0.0</v>
      </c>
      <c r="U61" s="31">
        <v>0.0</v>
      </c>
      <c r="V61" s="31">
        <v>0.0</v>
      </c>
      <c r="W61" s="31">
        <v>1.0</v>
      </c>
      <c r="X61" s="26">
        <f t="shared" si="16"/>
        <v>1</v>
      </c>
    </row>
    <row r="62">
      <c r="A62" s="20" t="s">
        <v>83</v>
      </c>
      <c r="B62" s="31">
        <v>2.0</v>
      </c>
      <c r="C62" s="31">
        <v>0.0</v>
      </c>
      <c r="D62" s="31">
        <v>2.0</v>
      </c>
      <c r="E62" s="31">
        <v>0.0</v>
      </c>
      <c r="F62" s="31">
        <v>0.0</v>
      </c>
      <c r="G62" s="31">
        <v>0.0</v>
      </c>
      <c r="H62" s="31">
        <v>0.0</v>
      </c>
      <c r="I62" s="31">
        <v>0.0</v>
      </c>
      <c r="J62" s="25">
        <f t="shared" si="13"/>
        <v>2</v>
      </c>
      <c r="K62" s="31">
        <v>2.0</v>
      </c>
      <c r="L62" s="31">
        <v>0.0</v>
      </c>
      <c r="M62" s="25">
        <f t="shared" si="14"/>
        <v>2</v>
      </c>
      <c r="N62" s="31">
        <v>0.0</v>
      </c>
      <c r="O62" s="31">
        <v>0.0</v>
      </c>
      <c r="P62" s="31">
        <v>2.0</v>
      </c>
      <c r="Q62" s="31">
        <v>0.0</v>
      </c>
      <c r="R62" s="31">
        <v>0.0</v>
      </c>
      <c r="S62" s="26">
        <f t="shared" si="15"/>
        <v>2</v>
      </c>
      <c r="T62" s="31">
        <v>2.0</v>
      </c>
      <c r="U62" s="31">
        <v>0.0</v>
      </c>
      <c r="V62" s="31">
        <v>0.0</v>
      </c>
      <c r="W62" s="31">
        <v>0.0</v>
      </c>
      <c r="X62" s="26">
        <f t="shared" si="16"/>
        <v>2</v>
      </c>
    </row>
    <row r="63">
      <c r="A63" s="20" t="s">
        <v>84</v>
      </c>
      <c r="B63" s="31">
        <v>0.0</v>
      </c>
      <c r="C63" s="31">
        <v>0.0</v>
      </c>
      <c r="D63" s="31">
        <v>0.0</v>
      </c>
      <c r="E63" s="31">
        <v>0.0</v>
      </c>
      <c r="F63" s="31">
        <v>0.0</v>
      </c>
      <c r="G63" s="31">
        <v>0.0</v>
      </c>
      <c r="H63" s="31">
        <v>0.0</v>
      </c>
      <c r="I63" s="31">
        <v>0.0</v>
      </c>
      <c r="J63" s="25">
        <f t="shared" si="13"/>
        <v>0</v>
      </c>
      <c r="K63" s="31">
        <v>0.0</v>
      </c>
      <c r="L63" s="31">
        <v>0.0</v>
      </c>
      <c r="M63" s="25">
        <f t="shared" si="14"/>
        <v>0</v>
      </c>
      <c r="N63" s="31">
        <v>0.0</v>
      </c>
      <c r="O63" s="31">
        <v>0.0</v>
      </c>
      <c r="P63" s="31">
        <v>0.0</v>
      </c>
      <c r="Q63" s="31">
        <v>0.0</v>
      </c>
      <c r="R63" s="31">
        <v>0.0</v>
      </c>
      <c r="S63" s="26">
        <f t="shared" si="15"/>
        <v>0</v>
      </c>
      <c r="T63" s="31">
        <v>0.0</v>
      </c>
      <c r="U63" s="31">
        <v>0.0</v>
      </c>
      <c r="V63" s="31">
        <v>0.0</v>
      </c>
      <c r="W63" s="31">
        <v>0.0</v>
      </c>
      <c r="X63" s="26">
        <f t="shared" si="16"/>
        <v>0</v>
      </c>
    </row>
    <row r="64">
      <c r="A64" s="20" t="s">
        <v>85</v>
      </c>
      <c r="B64" s="31">
        <v>0.0</v>
      </c>
      <c r="C64" s="31">
        <v>0.0</v>
      </c>
      <c r="D64" s="31">
        <v>0.0</v>
      </c>
      <c r="E64" s="31">
        <v>0.0</v>
      </c>
      <c r="F64" s="31">
        <v>0.0</v>
      </c>
      <c r="G64" s="31">
        <v>0.0</v>
      </c>
      <c r="H64" s="31">
        <v>0.0</v>
      </c>
      <c r="I64" s="31">
        <v>0.0</v>
      </c>
      <c r="J64" s="25">
        <f t="shared" si="13"/>
        <v>0</v>
      </c>
      <c r="K64" s="31">
        <v>0.0</v>
      </c>
      <c r="L64" s="31">
        <v>0.0</v>
      </c>
      <c r="M64" s="25">
        <f t="shared" si="14"/>
        <v>0</v>
      </c>
      <c r="N64" s="31">
        <v>0.0</v>
      </c>
      <c r="O64" s="31">
        <v>0.0</v>
      </c>
      <c r="P64" s="31">
        <v>0.0</v>
      </c>
      <c r="Q64" s="31">
        <v>0.0</v>
      </c>
      <c r="R64" s="31">
        <v>0.0</v>
      </c>
      <c r="S64" s="26">
        <f t="shared" si="15"/>
        <v>0</v>
      </c>
      <c r="T64" s="31">
        <v>0.0</v>
      </c>
      <c r="U64" s="31">
        <v>0.0</v>
      </c>
      <c r="V64" s="31">
        <v>0.0</v>
      </c>
      <c r="W64" s="31">
        <v>0.0</v>
      </c>
      <c r="X64" s="26">
        <f t="shared" si="16"/>
        <v>0</v>
      </c>
    </row>
    <row r="65">
      <c r="A65" s="20" t="s">
        <v>86</v>
      </c>
      <c r="B65" s="31">
        <v>0.0</v>
      </c>
      <c r="C65" s="31">
        <v>0.0</v>
      </c>
      <c r="D65" s="31">
        <v>0.0</v>
      </c>
      <c r="E65" s="31">
        <v>0.0</v>
      </c>
      <c r="F65" s="31">
        <v>0.0</v>
      </c>
      <c r="G65" s="31">
        <v>0.0</v>
      </c>
      <c r="H65" s="31">
        <v>0.0</v>
      </c>
      <c r="I65" s="31">
        <v>0.0</v>
      </c>
      <c r="J65" s="25">
        <f t="shared" si="13"/>
        <v>0</v>
      </c>
      <c r="K65" s="31">
        <v>0.0</v>
      </c>
      <c r="L65" s="31">
        <v>0.0</v>
      </c>
      <c r="M65" s="25">
        <f t="shared" si="14"/>
        <v>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26">
        <f t="shared" si="15"/>
        <v>0</v>
      </c>
      <c r="T65" s="31">
        <v>0.0</v>
      </c>
      <c r="U65" s="31">
        <v>0.0</v>
      </c>
      <c r="V65" s="31">
        <v>0.0</v>
      </c>
      <c r="W65" s="31">
        <v>0.0</v>
      </c>
      <c r="X65" s="26">
        <f t="shared" si="16"/>
        <v>0</v>
      </c>
    </row>
    <row r="66">
      <c r="A66" s="31" t="s">
        <v>13</v>
      </c>
      <c r="B66" s="35">
        <f t="shared" ref="B66:X66" si="17">SUM(B4:B65)</f>
        <v>226</v>
      </c>
      <c r="C66" s="35">
        <f t="shared" si="17"/>
        <v>4</v>
      </c>
      <c r="D66" s="35">
        <f t="shared" si="17"/>
        <v>175</v>
      </c>
      <c r="E66" s="35">
        <f t="shared" si="17"/>
        <v>0</v>
      </c>
      <c r="F66" s="35">
        <f t="shared" si="17"/>
        <v>0</v>
      </c>
      <c r="G66" s="35">
        <f t="shared" si="17"/>
        <v>3</v>
      </c>
      <c r="H66" s="35">
        <f t="shared" si="17"/>
        <v>44</v>
      </c>
      <c r="I66" s="35">
        <f t="shared" si="17"/>
        <v>0</v>
      </c>
      <c r="J66" s="35">
        <f t="shared" si="17"/>
        <v>226</v>
      </c>
      <c r="K66" s="35">
        <f t="shared" si="17"/>
        <v>221</v>
      </c>
      <c r="L66" s="35">
        <f t="shared" si="17"/>
        <v>5</v>
      </c>
      <c r="M66" s="35">
        <f t="shared" si="17"/>
        <v>226</v>
      </c>
      <c r="N66" s="35">
        <f t="shared" si="17"/>
        <v>81</v>
      </c>
      <c r="O66" s="35">
        <f t="shared" si="17"/>
        <v>56</v>
      </c>
      <c r="P66" s="35">
        <f t="shared" si="17"/>
        <v>73</v>
      </c>
      <c r="Q66" s="35">
        <f t="shared" si="17"/>
        <v>10</v>
      </c>
      <c r="R66" s="35">
        <f t="shared" si="17"/>
        <v>6</v>
      </c>
      <c r="S66" s="35">
        <f t="shared" si="17"/>
        <v>226</v>
      </c>
      <c r="T66" s="35">
        <f t="shared" si="17"/>
        <v>201</v>
      </c>
      <c r="U66" s="35">
        <f t="shared" si="17"/>
        <v>1</v>
      </c>
      <c r="V66" s="35">
        <f t="shared" si="17"/>
        <v>13</v>
      </c>
      <c r="W66" s="35">
        <f t="shared" si="17"/>
        <v>11</v>
      </c>
      <c r="X66" s="35">
        <f t="shared" si="17"/>
        <v>226</v>
      </c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43.0</v>
      </c>
      <c r="C4" s="22">
        <v>0.0</v>
      </c>
      <c r="D4" s="23">
        <v>29.0</v>
      </c>
      <c r="E4" s="23">
        <v>0.0</v>
      </c>
      <c r="F4" s="23">
        <v>0.0</v>
      </c>
      <c r="G4" s="24">
        <v>6.0</v>
      </c>
      <c r="H4" s="22">
        <v>8.0</v>
      </c>
      <c r="I4" s="23">
        <v>0.0</v>
      </c>
      <c r="J4" s="25">
        <f t="shared" ref="J4:J38" si="1">sum(C4:I4)</f>
        <v>43</v>
      </c>
      <c r="K4" s="23">
        <v>42.0</v>
      </c>
      <c r="L4" s="23">
        <v>1.0</v>
      </c>
      <c r="M4" s="25">
        <f t="shared" ref="M4:M38" si="2">sum(K4:L4)</f>
        <v>43</v>
      </c>
      <c r="N4" s="23">
        <v>31.0</v>
      </c>
      <c r="O4" s="22">
        <v>9.0</v>
      </c>
      <c r="P4" s="23">
        <v>3.0</v>
      </c>
      <c r="Q4" s="22">
        <v>0.0</v>
      </c>
      <c r="R4" s="22">
        <v>0.0</v>
      </c>
      <c r="S4" s="26">
        <f t="shared" ref="S4:S38" si="3">sum(N4:R4)</f>
        <v>43</v>
      </c>
      <c r="T4" s="23">
        <v>40.0</v>
      </c>
      <c r="U4" s="23">
        <v>0.0</v>
      </c>
      <c r="V4" s="23">
        <v>2.0</v>
      </c>
      <c r="W4" s="23">
        <v>1.0</v>
      </c>
      <c r="X4" s="26">
        <f t="shared" ref="X4:X38" si="4">sum(T4:W4)</f>
        <v>43</v>
      </c>
    </row>
    <row r="5">
      <c r="A5" s="20" t="s">
        <v>26</v>
      </c>
      <c r="B5" s="21">
        <v>0.0</v>
      </c>
      <c r="C5" s="22">
        <v>0.0</v>
      </c>
      <c r="D5" s="23">
        <v>0.0</v>
      </c>
      <c r="E5" s="24">
        <v>0.0</v>
      </c>
      <c r="F5" s="23">
        <v>0.0</v>
      </c>
      <c r="G5" s="23">
        <v>0.0</v>
      </c>
      <c r="H5" s="22">
        <v>0.0</v>
      </c>
      <c r="I5" s="23">
        <v>0.0</v>
      </c>
      <c r="J5" s="25">
        <f t="shared" si="1"/>
        <v>0</v>
      </c>
      <c r="K5" s="23">
        <v>0.0</v>
      </c>
      <c r="L5" s="23">
        <v>0.0</v>
      </c>
      <c r="M5" s="25">
        <f t="shared" si="2"/>
        <v>0</v>
      </c>
      <c r="N5" s="23">
        <v>0.0</v>
      </c>
      <c r="O5" s="22">
        <v>0.0</v>
      </c>
      <c r="P5" s="23">
        <v>0.0</v>
      </c>
      <c r="Q5" s="23">
        <v>0.0</v>
      </c>
      <c r="R5" s="23">
        <v>0.0</v>
      </c>
      <c r="S5" s="26">
        <f t="shared" si="3"/>
        <v>0</v>
      </c>
      <c r="T5" s="23">
        <v>0.0</v>
      </c>
      <c r="U5" s="24">
        <v>0.0</v>
      </c>
      <c r="V5" s="23">
        <v>0.0</v>
      </c>
      <c r="W5" s="23">
        <v>0.0</v>
      </c>
      <c r="X5" s="26">
        <f t="shared" si="4"/>
        <v>0</v>
      </c>
    </row>
    <row r="6">
      <c r="A6" s="20" t="s">
        <v>27</v>
      </c>
      <c r="B6" s="21">
        <v>13.0</v>
      </c>
      <c r="C6" s="22">
        <v>0.0</v>
      </c>
      <c r="D6" s="23">
        <v>4.0</v>
      </c>
      <c r="E6" s="24">
        <v>0.0</v>
      </c>
      <c r="F6" s="23">
        <v>0.0</v>
      </c>
      <c r="G6" s="23">
        <v>1.0</v>
      </c>
      <c r="H6" s="22">
        <v>8.0</v>
      </c>
      <c r="I6" s="23">
        <v>0.0</v>
      </c>
      <c r="J6" s="25">
        <f t="shared" si="1"/>
        <v>13</v>
      </c>
      <c r="K6" s="23">
        <v>13.0</v>
      </c>
      <c r="L6" s="23">
        <v>0.0</v>
      </c>
      <c r="M6" s="25">
        <f t="shared" si="2"/>
        <v>13</v>
      </c>
      <c r="N6" s="23">
        <v>3.0</v>
      </c>
      <c r="O6" s="22">
        <v>1.0</v>
      </c>
      <c r="P6" s="23">
        <v>6.0</v>
      </c>
      <c r="Q6" s="23">
        <v>3.0</v>
      </c>
      <c r="R6" s="23">
        <v>0.0</v>
      </c>
      <c r="S6" s="26">
        <f t="shared" si="3"/>
        <v>13</v>
      </c>
      <c r="T6" s="23">
        <v>10.0</v>
      </c>
      <c r="U6" s="24">
        <v>0.0</v>
      </c>
      <c r="V6" s="23">
        <v>1.0</v>
      </c>
      <c r="W6" s="23">
        <v>2.0</v>
      </c>
      <c r="X6" s="26">
        <f t="shared" si="4"/>
        <v>13</v>
      </c>
    </row>
    <row r="7">
      <c r="A7" s="20" t="s">
        <v>28</v>
      </c>
      <c r="B7" s="21">
        <v>4.0</v>
      </c>
      <c r="C7" s="23">
        <v>0.0</v>
      </c>
      <c r="D7" s="23">
        <v>0.0</v>
      </c>
      <c r="E7" s="23">
        <v>0.0</v>
      </c>
      <c r="F7" s="23">
        <v>0.0</v>
      </c>
      <c r="G7" s="23">
        <v>1.0</v>
      </c>
      <c r="H7" s="23">
        <v>3.0</v>
      </c>
      <c r="I7" s="23">
        <v>0.0</v>
      </c>
      <c r="J7" s="25">
        <f t="shared" si="1"/>
        <v>4</v>
      </c>
      <c r="K7" s="23">
        <v>3.0</v>
      </c>
      <c r="L7" s="23">
        <v>1.0</v>
      </c>
      <c r="M7" s="25">
        <f t="shared" si="2"/>
        <v>4</v>
      </c>
      <c r="N7" s="23">
        <v>0.0</v>
      </c>
      <c r="O7" s="22">
        <v>1.0</v>
      </c>
      <c r="P7" s="23">
        <v>2.0</v>
      </c>
      <c r="Q7" s="23">
        <v>1.0</v>
      </c>
      <c r="R7" s="23">
        <v>0.0</v>
      </c>
      <c r="S7" s="26">
        <f t="shared" si="3"/>
        <v>4</v>
      </c>
      <c r="T7" s="23">
        <v>4.0</v>
      </c>
      <c r="U7" s="23">
        <v>0.0</v>
      </c>
      <c r="V7" s="23">
        <v>0.0</v>
      </c>
      <c r="W7" s="23">
        <v>0.0</v>
      </c>
      <c r="X7" s="26">
        <f t="shared" si="4"/>
        <v>4</v>
      </c>
    </row>
    <row r="8">
      <c r="A8" s="20" t="s">
        <v>29</v>
      </c>
      <c r="B8" s="21">
        <v>13.0</v>
      </c>
      <c r="C8" s="23">
        <v>0.0</v>
      </c>
      <c r="D8" s="23">
        <v>3.0</v>
      </c>
      <c r="E8" s="23">
        <v>0.0</v>
      </c>
      <c r="F8" s="23">
        <v>0.0</v>
      </c>
      <c r="G8" s="23">
        <v>6.0</v>
      </c>
      <c r="H8" s="23">
        <v>4.0</v>
      </c>
      <c r="I8" s="23">
        <v>0.0</v>
      </c>
      <c r="J8" s="25">
        <f t="shared" si="1"/>
        <v>13</v>
      </c>
      <c r="K8" s="23">
        <v>12.0</v>
      </c>
      <c r="L8" s="23">
        <v>1.0</v>
      </c>
      <c r="M8" s="25">
        <f t="shared" si="2"/>
        <v>13</v>
      </c>
      <c r="N8" s="23">
        <v>10.0</v>
      </c>
      <c r="O8" s="22">
        <v>1.0</v>
      </c>
      <c r="P8" s="23">
        <v>2.0</v>
      </c>
      <c r="Q8" s="23">
        <v>0.0</v>
      </c>
      <c r="R8" s="23">
        <v>0.0</v>
      </c>
      <c r="S8" s="26">
        <f t="shared" si="3"/>
        <v>13</v>
      </c>
      <c r="T8" s="23">
        <v>11.0</v>
      </c>
      <c r="U8" s="23">
        <v>1.0</v>
      </c>
      <c r="V8" s="23">
        <v>0.0</v>
      </c>
      <c r="W8" s="23">
        <v>1.0</v>
      </c>
      <c r="X8" s="26">
        <f t="shared" si="4"/>
        <v>13</v>
      </c>
    </row>
    <row r="9">
      <c r="A9" s="20" t="s">
        <v>30</v>
      </c>
      <c r="B9" s="21">
        <v>39.0</v>
      </c>
      <c r="C9" s="23">
        <v>0.0</v>
      </c>
      <c r="D9" s="23">
        <v>22.0</v>
      </c>
      <c r="E9" s="23">
        <v>0.0</v>
      </c>
      <c r="F9" s="23">
        <v>0.0</v>
      </c>
      <c r="G9" s="23">
        <v>10.0</v>
      </c>
      <c r="H9" s="23">
        <v>7.0</v>
      </c>
      <c r="I9" s="23">
        <v>0.0</v>
      </c>
      <c r="J9" s="25">
        <f t="shared" si="1"/>
        <v>39</v>
      </c>
      <c r="K9" s="23">
        <v>39.0</v>
      </c>
      <c r="L9" s="23">
        <v>0.0</v>
      </c>
      <c r="M9" s="25">
        <f t="shared" si="2"/>
        <v>39</v>
      </c>
      <c r="N9" s="23">
        <v>2.0</v>
      </c>
      <c r="O9" s="22">
        <v>21.0</v>
      </c>
      <c r="P9" s="23">
        <v>5.0</v>
      </c>
      <c r="Q9" s="23">
        <v>10.0</v>
      </c>
      <c r="R9" s="23">
        <v>1.0</v>
      </c>
      <c r="S9" s="26">
        <f t="shared" si="3"/>
        <v>39</v>
      </c>
      <c r="T9" s="23">
        <v>28.0</v>
      </c>
      <c r="U9" s="23">
        <v>0.0</v>
      </c>
      <c r="V9" s="23">
        <v>9.0</v>
      </c>
      <c r="W9" s="23">
        <v>2.0</v>
      </c>
      <c r="X9" s="26">
        <f t="shared" si="4"/>
        <v>39</v>
      </c>
    </row>
    <row r="10">
      <c r="A10" s="20" t="s">
        <v>31</v>
      </c>
      <c r="B10" s="21">
        <v>4.0</v>
      </c>
      <c r="C10" s="23">
        <v>0.0</v>
      </c>
      <c r="D10" s="23">
        <v>4.0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5">
        <f t="shared" si="1"/>
        <v>4</v>
      </c>
      <c r="K10" s="23">
        <v>3.0</v>
      </c>
      <c r="L10" s="23">
        <v>1.0</v>
      </c>
      <c r="M10" s="25">
        <f t="shared" si="2"/>
        <v>4</v>
      </c>
      <c r="N10" s="23">
        <v>1.0</v>
      </c>
      <c r="O10" s="22">
        <v>2.0</v>
      </c>
      <c r="P10" s="23">
        <v>1.0</v>
      </c>
      <c r="Q10" s="23">
        <v>0.0</v>
      </c>
      <c r="R10" s="23">
        <v>0.0</v>
      </c>
      <c r="S10" s="26">
        <f t="shared" si="3"/>
        <v>4</v>
      </c>
      <c r="T10" s="23">
        <v>3.0</v>
      </c>
      <c r="U10" s="23">
        <v>0.0</v>
      </c>
      <c r="V10" s="23">
        <v>0.0</v>
      </c>
      <c r="W10" s="23">
        <v>1.0</v>
      </c>
      <c r="X10" s="26">
        <f t="shared" si="4"/>
        <v>4</v>
      </c>
    </row>
    <row r="11">
      <c r="A11" s="20" t="s">
        <v>32</v>
      </c>
      <c r="B11" s="21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2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58.0</v>
      </c>
      <c r="C12" s="23">
        <v>0.0</v>
      </c>
      <c r="D12" s="23">
        <v>24.0</v>
      </c>
      <c r="E12" s="23">
        <v>0.0</v>
      </c>
      <c r="F12" s="23">
        <v>0.0</v>
      </c>
      <c r="G12" s="23">
        <v>19.0</v>
      </c>
      <c r="H12" s="23">
        <v>15.0</v>
      </c>
      <c r="I12" s="23">
        <v>0.0</v>
      </c>
      <c r="J12" s="25">
        <f t="shared" si="1"/>
        <v>58</v>
      </c>
      <c r="K12" s="23">
        <v>58.0</v>
      </c>
      <c r="L12" s="23">
        <v>0.0</v>
      </c>
      <c r="M12" s="25">
        <f t="shared" si="2"/>
        <v>58</v>
      </c>
      <c r="N12" s="23">
        <v>39.0</v>
      </c>
      <c r="O12" s="22">
        <v>11.0</v>
      </c>
      <c r="P12" s="23">
        <v>8.0</v>
      </c>
      <c r="Q12" s="23">
        <v>0.0</v>
      </c>
      <c r="R12" s="23">
        <v>0.0</v>
      </c>
      <c r="S12" s="26">
        <f t="shared" si="3"/>
        <v>58</v>
      </c>
      <c r="T12" s="23">
        <v>42.0</v>
      </c>
      <c r="U12" s="23">
        <v>1.0</v>
      </c>
      <c r="V12" s="23">
        <v>7.0</v>
      </c>
      <c r="W12" s="23">
        <v>8.0</v>
      </c>
      <c r="X12" s="26">
        <f t="shared" si="4"/>
        <v>58</v>
      </c>
    </row>
    <row r="13">
      <c r="A13" s="20" t="s">
        <v>34</v>
      </c>
      <c r="B13" s="21">
        <v>63.0</v>
      </c>
      <c r="C13" s="23">
        <v>0.0</v>
      </c>
      <c r="D13" s="23">
        <v>24.0</v>
      </c>
      <c r="E13" s="23">
        <v>0.0</v>
      </c>
      <c r="F13" s="23">
        <v>0.0</v>
      </c>
      <c r="G13" s="23">
        <v>6.0</v>
      </c>
      <c r="H13" s="23">
        <v>33.0</v>
      </c>
      <c r="I13" s="23">
        <v>0.0</v>
      </c>
      <c r="J13" s="25">
        <f t="shared" si="1"/>
        <v>63</v>
      </c>
      <c r="K13" s="23">
        <v>62.0</v>
      </c>
      <c r="L13" s="23">
        <v>1.0</v>
      </c>
      <c r="M13" s="25">
        <f t="shared" si="2"/>
        <v>63</v>
      </c>
      <c r="N13" s="23">
        <v>1.0</v>
      </c>
      <c r="O13" s="22">
        <v>38.0</v>
      </c>
      <c r="P13" s="24">
        <v>18.0</v>
      </c>
      <c r="Q13" s="22">
        <v>6.0</v>
      </c>
      <c r="R13" s="23">
        <v>0.0</v>
      </c>
      <c r="S13" s="26">
        <f t="shared" si="3"/>
        <v>63</v>
      </c>
      <c r="T13" s="23">
        <v>43.0</v>
      </c>
      <c r="U13" s="23">
        <v>1.0</v>
      </c>
      <c r="V13" s="23">
        <v>11.0</v>
      </c>
      <c r="W13" s="24">
        <v>8.0</v>
      </c>
      <c r="X13" s="26">
        <f t="shared" si="4"/>
        <v>63</v>
      </c>
    </row>
    <row r="14">
      <c r="A14" s="20" t="s">
        <v>35</v>
      </c>
      <c r="B14" s="27">
        <v>17.0</v>
      </c>
      <c r="C14" s="23">
        <v>0.0</v>
      </c>
      <c r="D14" s="23">
        <v>8.0</v>
      </c>
      <c r="E14" s="23">
        <v>0.0</v>
      </c>
      <c r="F14" s="23">
        <v>0.0</v>
      </c>
      <c r="G14" s="23">
        <v>6.0</v>
      </c>
      <c r="H14" s="23">
        <v>3.0</v>
      </c>
      <c r="I14" s="23">
        <v>0.0</v>
      </c>
      <c r="J14" s="25">
        <f t="shared" si="1"/>
        <v>17</v>
      </c>
      <c r="K14" s="23">
        <v>17.0</v>
      </c>
      <c r="L14" s="23">
        <v>0.0</v>
      </c>
      <c r="M14" s="25">
        <f t="shared" si="2"/>
        <v>17</v>
      </c>
      <c r="N14" s="23">
        <v>9.0</v>
      </c>
      <c r="O14" s="23">
        <v>5.0</v>
      </c>
      <c r="P14" s="23">
        <v>2.0</v>
      </c>
      <c r="Q14" s="23">
        <v>1.0</v>
      </c>
      <c r="R14" s="23">
        <v>0.0</v>
      </c>
      <c r="S14" s="26">
        <f t="shared" si="3"/>
        <v>17</v>
      </c>
      <c r="T14" s="23">
        <v>11.0</v>
      </c>
      <c r="U14" s="23">
        <v>0.0</v>
      </c>
      <c r="V14" s="23">
        <v>4.0</v>
      </c>
      <c r="W14" s="23">
        <v>2.0</v>
      </c>
      <c r="X14" s="26">
        <f t="shared" si="4"/>
        <v>17</v>
      </c>
    </row>
    <row r="15">
      <c r="A15" s="20" t="s">
        <v>36</v>
      </c>
      <c r="B15" s="21">
        <v>3.0</v>
      </c>
      <c r="C15" s="23">
        <v>0.0</v>
      </c>
      <c r="D15" s="23">
        <v>3.0</v>
      </c>
      <c r="E15" s="23">
        <v>0.0</v>
      </c>
      <c r="F15" s="23">
        <v>0.0</v>
      </c>
      <c r="G15" s="22">
        <v>0.0</v>
      </c>
      <c r="H15" s="22">
        <v>0.0</v>
      </c>
      <c r="I15" s="23">
        <v>0.0</v>
      </c>
      <c r="J15" s="25">
        <f t="shared" si="1"/>
        <v>3</v>
      </c>
      <c r="K15" s="23">
        <v>3.0</v>
      </c>
      <c r="L15" s="24">
        <v>0.0</v>
      </c>
      <c r="M15" s="25">
        <f t="shared" si="2"/>
        <v>3</v>
      </c>
      <c r="N15" s="23">
        <v>0.0</v>
      </c>
      <c r="O15" s="22">
        <v>2.0</v>
      </c>
      <c r="P15" s="24">
        <v>1.0</v>
      </c>
      <c r="Q15" s="24">
        <v>0.0</v>
      </c>
      <c r="R15" s="24">
        <v>0.0</v>
      </c>
      <c r="S15" s="26">
        <f t="shared" si="3"/>
        <v>3</v>
      </c>
      <c r="T15" s="23">
        <v>1.0</v>
      </c>
      <c r="U15" s="23">
        <v>0.0</v>
      </c>
      <c r="V15" s="24">
        <v>2.0</v>
      </c>
      <c r="W15" s="23">
        <v>0.0</v>
      </c>
      <c r="X15" s="26">
        <f t="shared" si="4"/>
        <v>3</v>
      </c>
    </row>
    <row r="16">
      <c r="A16" s="20" t="s">
        <v>37</v>
      </c>
      <c r="B16" s="21">
        <v>23.0</v>
      </c>
      <c r="C16" s="23">
        <v>0.0</v>
      </c>
      <c r="D16" s="23">
        <v>23.0</v>
      </c>
      <c r="E16" s="23">
        <v>0.0</v>
      </c>
      <c r="F16" s="23">
        <v>0.0</v>
      </c>
      <c r="G16" s="22">
        <v>0.0</v>
      </c>
      <c r="H16" s="22">
        <v>0.0</v>
      </c>
      <c r="I16" s="23">
        <v>0.0</v>
      </c>
      <c r="J16" s="25">
        <f t="shared" si="1"/>
        <v>23</v>
      </c>
      <c r="K16" s="23">
        <v>23.0</v>
      </c>
      <c r="L16" s="24">
        <v>0.0</v>
      </c>
      <c r="M16" s="25">
        <f t="shared" si="2"/>
        <v>23</v>
      </c>
      <c r="N16" s="23">
        <v>2.0</v>
      </c>
      <c r="O16" s="22">
        <v>10.0</v>
      </c>
      <c r="P16" s="24">
        <v>11.0</v>
      </c>
      <c r="Q16" s="24">
        <v>0.0</v>
      </c>
      <c r="R16" s="24">
        <v>0.0</v>
      </c>
      <c r="S16" s="26">
        <f t="shared" si="3"/>
        <v>23</v>
      </c>
      <c r="T16" s="23">
        <v>13.0</v>
      </c>
      <c r="U16" s="23">
        <v>0.0</v>
      </c>
      <c r="V16" s="24">
        <v>9.0</v>
      </c>
      <c r="W16" s="23">
        <v>1.0</v>
      </c>
      <c r="X16" s="26">
        <f t="shared" si="4"/>
        <v>23</v>
      </c>
    </row>
    <row r="17">
      <c r="A17" s="20" t="s">
        <v>38</v>
      </c>
      <c r="B17" s="21">
        <v>12.0</v>
      </c>
      <c r="C17" s="23">
        <v>0.0</v>
      </c>
      <c r="D17" s="23">
        <v>7.0</v>
      </c>
      <c r="E17" s="23">
        <v>0.0</v>
      </c>
      <c r="F17" s="23">
        <v>0.0</v>
      </c>
      <c r="G17" s="22">
        <v>2.0</v>
      </c>
      <c r="H17" s="22">
        <v>3.0</v>
      </c>
      <c r="I17" s="23">
        <v>0.0</v>
      </c>
      <c r="J17" s="25">
        <f t="shared" si="1"/>
        <v>12</v>
      </c>
      <c r="K17" s="23">
        <v>12.0</v>
      </c>
      <c r="L17" s="24">
        <v>0.0</v>
      </c>
      <c r="M17" s="25">
        <f t="shared" si="2"/>
        <v>12</v>
      </c>
      <c r="N17" s="23">
        <v>0.0</v>
      </c>
      <c r="O17" s="22">
        <v>1.0</v>
      </c>
      <c r="P17" s="24">
        <v>6.0</v>
      </c>
      <c r="Q17" s="24">
        <v>5.0</v>
      </c>
      <c r="R17" s="24">
        <v>0.0</v>
      </c>
      <c r="S17" s="26">
        <f t="shared" si="3"/>
        <v>12</v>
      </c>
      <c r="T17" s="23">
        <v>5.0</v>
      </c>
      <c r="U17" s="23">
        <v>0.0</v>
      </c>
      <c r="V17" s="24">
        <v>4.0</v>
      </c>
      <c r="W17" s="23">
        <v>3.0</v>
      </c>
      <c r="X17" s="26">
        <f t="shared" si="4"/>
        <v>12</v>
      </c>
    </row>
    <row r="18">
      <c r="A18" s="20" t="s">
        <v>39</v>
      </c>
      <c r="B18" s="27">
        <v>38.0</v>
      </c>
      <c r="C18" s="23">
        <v>0.0</v>
      </c>
      <c r="D18" s="23">
        <v>24.0</v>
      </c>
      <c r="E18" s="23">
        <v>0.0</v>
      </c>
      <c r="F18" s="23">
        <v>0.0</v>
      </c>
      <c r="G18" s="23">
        <v>5.0</v>
      </c>
      <c r="H18" s="23">
        <v>9.0</v>
      </c>
      <c r="I18" s="23">
        <v>0.0</v>
      </c>
      <c r="J18" s="25">
        <f t="shared" si="1"/>
        <v>38</v>
      </c>
      <c r="K18" s="23">
        <v>35.0</v>
      </c>
      <c r="L18" s="23">
        <v>3.0</v>
      </c>
      <c r="M18" s="25">
        <f t="shared" si="2"/>
        <v>38</v>
      </c>
      <c r="N18" s="23">
        <v>16.0</v>
      </c>
      <c r="O18" s="23">
        <v>9.0</v>
      </c>
      <c r="P18" s="23">
        <v>11.0</v>
      </c>
      <c r="Q18" s="23">
        <v>2.0</v>
      </c>
      <c r="R18" s="23">
        <v>0.0</v>
      </c>
      <c r="S18" s="26">
        <f t="shared" si="3"/>
        <v>38</v>
      </c>
      <c r="T18" s="23">
        <v>29.0</v>
      </c>
      <c r="U18" s="23">
        <v>0.0</v>
      </c>
      <c r="V18" s="23">
        <v>6.0</v>
      </c>
      <c r="W18" s="23">
        <v>3.0</v>
      </c>
      <c r="X18" s="26">
        <f t="shared" si="4"/>
        <v>38</v>
      </c>
    </row>
    <row r="19">
      <c r="A19" s="20" t="s">
        <v>40</v>
      </c>
      <c r="B19" s="27">
        <v>1.0</v>
      </c>
      <c r="C19" s="23">
        <v>0.0</v>
      </c>
      <c r="D19" s="23">
        <v>0.0</v>
      </c>
      <c r="E19" s="23">
        <v>0.0</v>
      </c>
      <c r="F19" s="23">
        <v>0.0</v>
      </c>
      <c r="G19" s="23">
        <v>1.0</v>
      </c>
      <c r="H19" s="23">
        <v>0.0</v>
      </c>
      <c r="I19" s="23">
        <v>0.0</v>
      </c>
      <c r="J19" s="25">
        <f t="shared" si="1"/>
        <v>1</v>
      </c>
      <c r="K19" s="23">
        <v>0.0</v>
      </c>
      <c r="L19" s="23">
        <v>1.0</v>
      </c>
      <c r="M19" s="25">
        <f t="shared" si="2"/>
        <v>1</v>
      </c>
      <c r="N19" s="23">
        <v>1.0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1</v>
      </c>
      <c r="T19" s="23">
        <v>0.0</v>
      </c>
      <c r="U19" s="23">
        <v>1.0</v>
      </c>
      <c r="V19" s="23">
        <v>0.0</v>
      </c>
      <c r="W19" s="23">
        <v>0.0</v>
      </c>
      <c r="X19" s="26">
        <f t="shared" si="4"/>
        <v>1</v>
      </c>
    </row>
    <row r="20">
      <c r="A20" s="20" t="s">
        <v>41</v>
      </c>
      <c r="B20" s="21">
        <v>0.0</v>
      </c>
      <c r="C20" s="22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2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4">
        <v>0.0</v>
      </c>
      <c r="X20" s="26">
        <f t="shared" si="4"/>
        <v>0</v>
      </c>
    </row>
    <row r="21">
      <c r="A21" s="20" t="s">
        <v>42</v>
      </c>
      <c r="B21" s="27">
        <v>13.0</v>
      </c>
      <c r="C21" s="23">
        <v>0.0</v>
      </c>
      <c r="D21" s="23">
        <v>7.0</v>
      </c>
      <c r="E21" s="23">
        <v>0.0</v>
      </c>
      <c r="F21" s="23">
        <v>0.0</v>
      </c>
      <c r="G21" s="23">
        <v>5.0</v>
      </c>
      <c r="H21" s="23">
        <v>1.0</v>
      </c>
      <c r="I21" s="23">
        <v>0.0</v>
      </c>
      <c r="J21" s="25">
        <f t="shared" si="1"/>
        <v>13</v>
      </c>
      <c r="K21" s="23">
        <v>13.0</v>
      </c>
      <c r="L21" s="23">
        <v>0.0</v>
      </c>
      <c r="M21" s="25">
        <f t="shared" si="2"/>
        <v>13</v>
      </c>
      <c r="N21" s="23">
        <v>12.0</v>
      </c>
      <c r="O21" s="23">
        <v>0.0</v>
      </c>
      <c r="P21" s="23">
        <v>1.0</v>
      </c>
      <c r="Q21" s="23">
        <v>0.0</v>
      </c>
      <c r="R21" s="23">
        <v>0.0</v>
      </c>
      <c r="S21" s="26">
        <f t="shared" si="3"/>
        <v>13</v>
      </c>
      <c r="T21" s="23">
        <v>7.0</v>
      </c>
      <c r="U21" s="23">
        <v>0.0</v>
      </c>
      <c r="V21" s="23">
        <v>1.0</v>
      </c>
      <c r="W21" s="23">
        <v>5.0</v>
      </c>
      <c r="X21" s="26">
        <f t="shared" si="4"/>
        <v>13</v>
      </c>
    </row>
    <row r="22">
      <c r="A22" s="20" t="s">
        <v>43</v>
      </c>
      <c r="B22" s="27">
        <v>152.0</v>
      </c>
      <c r="C22" s="23">
        <v>0.0</v>
      </c>
      <c r="D22" s="23">
        <v>85.0</v>
      </c>
      <c r="E22" s="23">
        <v>0.0</v>
      </c>
      <c r="F22" s="23">
        <v>0.0</v>
      </c>
      <c r="G22" s="23">
        <v>34.0</v>
      </c>
      <c r="H22" s="23">
        <v>33.0</v>
      </c>
      <c r="I22" s="23">
        <v>0.0</v>
      </c>
      <c r="J22" s="25">
        <f t="shared" si="1"/>
        <v>152</v>
      </c>
      <c r="K22" s="23">
        <v>152.0</v>
      </c>
      <c r="L22" s="23">
        <v>0.0</v>
      </c>
      <c r="M22" s="25">
        <f t="shared" si="2"/>
        <v>152</v>
      </c>
      <c r="N22" s="23">
        <v>107.0</v>
      </c>
      <c r="O22" s="23">
        <v>35.0</v>
      </c>
      <c r="P22" s="23">
        <v>8.0</v>
      </c>
      <c r="Q22" s="23">
        <v>1.0</v>
      </c>
      <c r="R22" s="23">
        <v>1.0</v>
      </c>
      <c r="S22" s="26">
        <f t="shared" si="3"/>
        <v>152</v>
      </c>
      <c r="T22" s="23">
        <v>149.0</v>
      </c>
      <c r="U22" s="23">
        <v>0.0</v>
      </c>
      <c r="V22" s="23">
        <v>3.0</v>
      </c>
      <c r="W22" s="23">
        <v>0.0</v>
      </c>
      <c r="X22" s="26">
        <f t="shared" si="4"/>
        <v>152</v>
      </c>
    </row>
    <row r="23">
      <c r="A23" s="20" t="s">
        <v>44</v>
      </c>
      <c r="B23" s="27">
        <v>25.0</v>
      </c>
      <c r="C23" s="23">
        <v>0.0</v>
      </c>
      <c r="D23" s="23">
        <v>22.0</v>
      </c>
      <c r="E23" s="23">
        <v>0.0</v>
      </c>
      <c r="F23" s="23">
        <v>0.0</v>
      </c>
      <c r="G23" s="23">
        <v>0.0</v>
      </c>
      <c r="H23" s="23">
        <v>3.0</v>
      </c>
      <c r="I23" s="23">
        <v>0.0</v>
      </c>
      <c r="J23" s="25">
        <f t="shared" si="1"/>
        <v>25</v>
      </c>
      <c r="K23" s="23">
        <v>25.0</v>
      </c>
      <c r="L23" s="23">
        <v>0.0</v>
      </c>
      <c r="M23" s="25">
        <f t="shared" si="2"/>
        <v>25</v>
      </c>
      <c r="N23" s="23">
        <v>20.0</v>
      </c>
      <c r="O23" s="23">
        <v>3.0</v>
      </c>
      <c r="P23" s="23">
        <v>2.0</v>
      </c>
      <c r="Q23" s="23">
        <v>0.0</v>
      </c>
      <c r="R23" s="23">
        <v>0.0</v>
      </c>
      <c r="S23" s="26">
        <f t="shared" si="3"/>
        <v>25</v>
      </c>
      <c r="T23" s="23">
        <v>24.0</v>
      </c>
      <c r="U23" s="23">
        <v>0.0</v>
      </c>
      <c r="V23" s="23">
        <v>1.0</v>
      </c>
      <c r="W23" s="23">
        <v>0.0</v>
      </c>
      <c r="X23" s="26">
        <f t="shared" si="4"/>
        <v>25</v>
      </c>
    </row>
    <row r="24">
      <c r="A24" s="20" t="s">
        <v>45</v>
      </c>
      <c r="B24" s="27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5">
        <f t="shared" si="1"/>
        <v>0</v>
      </c>
      <c r="K24" s="23">
        <v>0.0</v>
      </c>
      <c r="L24" s="23">
        <v>0.0</v>
      </c>
      <c r="M24" s="25">
        <f t="shared" si="2"/>
        <v>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6">
        <f t="shared" si="3"/>
        <v>0</v>
      </c>
      <c r="T24" s="23">
        <v>0.0</v>
      </c>
      <c r="U24" s="23">
        <v>0.0</v>
      </c>
      <c r="V24" s="23">
        <v>0.0</v>
      </c>
      <c r="W24" s="23">
        <v>0.0</v>
      </c>
      <c r="X24" s="26">
        <f t="shared" si="4"/>
        <v>0</v>
      </c>
    </row>
    <row r="25">
      <c r="A25" s="20" t="s">
        <v>46</v>
      </c>
      <c r="B25" s="27">
        <v>17.0</v>
      </c>
      <c r="C25" s="23">
        <v>2.0</v>
      </c>
      <c r="D25" s="23">
        <v>4.0</v>
      </c>
      <c r="E25" s="23">
        <v>0.0</v>
      </c>
      <c r="F25" s="23">
        <v>0.0</v>
      </c>
      <c r="G25" s="23">
        <v>4.0</v>
      </c>
      <c r="H25" s="23">
        <v>7.0</v>
      </c>
      <c r="I25" s="23">
        <v>0.0</v>
      </c>
      <c r="J25" s="25">
        <f t="shared" si="1"/>
        <v>17</v>
      </c>
      <c r="K25" s="23">
        <v>17.0</v>
      </c>
      <c r="L25" s="23">
        <v>0.0</v>
      </c>
      <c r="M25" s="25">
        <f t="shared" si="2"/>
        <v>17</v>
      </c>
      <c r="N25" s="23">
        <v>2.0</v>
      </c>
      <c r="O25" s="23">
        <v>14.0</v>
      </c>
      <c r="P25" s="23">
        <v>1.0</v>
      </c>
      <c r="Q25" s="23">
        <v>0.0</v>
      </c>
      <c r="R25" s="23">
        <v>0.0</v>
      </c>
      <c r="S25" s="26">
        <f t="shared" si="3"/>
        <v>17</v>
      </c>
      <c r="T25" s="23">
        <v>15.0</v>
      </c>
      <c r="U25" s="23">
        <v>0.0</v>
      </c>
      <c r="V25" s="23">
        <v>1.0</v>
      </c>
      <c r="W25" s="23">
        <v>1.0</v>
      </c>
      <c r="X25" s="26">
        <f t="shared" si="4"/>
        <v>17</v>
      </c>
    </row>
    <row r="26">
      <c r="A26" s="20" t="s">
        <v>47</v>
      </c>
      <c r="B26" s="27">
        <v>11.0</v>
      </c>
      <c r="C26" s="23">
        <v>0.0</v>
      </c>
      <c r="D26" s="23">
        <v>1.0</v>
      </c>
      <c r="E26" s="23">
        <v>0.0</v>
      </c>
      <c r="F26" s="23">
        <v>0.0</v>
      </c>
      <c r="G26" s="23">
        <v>3.0</v>
      </c>
      <c r="H26" s="23">
        <v>7.0</v>
      </c>
      <c r="I26" s="23">
        <v>0.0</v>
      </c>
      <c r="J26" s="25">
        <f t="shared" si="1"/>
        <v>11</v>
      </c>
      <c r="K26" s="23">
        <v>11.0</v>
      </c>
      <c r="L26" s="23">
        <v>0.0</v>
      </c>
      <c r="M26" s="25">
        <f t="shared" si="2"/>
        <v>11</v>
      </c>
      <c r="N26" s="23">
        <v>0.0</v>
      </c>
      <c r="O26" s="23">
        <v>11.0</v>
      </c>
      <c r="P26" s="23">
        <v>0.0</v>
      </c>
      <c r="Q26" s="23">
        <v>0.0</v>
      </c>
      <c r="R26" s="23">
        <v>0.0</v>
      </c>
      <c r="S26" s="26">
        <f t="shared" si="3"/>
        <v>11</v>
      </c>
      <c r="T26" s="23">
        <v>11.0</v>
      </c>
      <c r="U26" s="23">
        <v>0.0</v>
      </c>
      <c r="V26" s="23">
        <v>0.0</v>
      </c>
      <c r="W26" s="23">
        <v>0.0</v>
      </c>
      <c r="X26" s="26">
        <f t="shared" si="4"/>
        <v>11</v>
      </c>
    </row>
    <row r="27">
      <c r="A27" s="20" t="s">
        <v>48</v>
      </c>
      <c r="B27" s="21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5">
        <f t="shared" si="1"/>
        <v>0</v>
      </c>
      <c r="K27" s="23">
        <v>0.0</v>
      </c>
      <c r="L27" s="23">
        <v>0.0</v>
      </c>
      <c r="M27" s="25">
        <f t="shared" si="2"/>
        <v>0</v>
      </c>
      <c r="N27" s="23">
        <v>0.0</v>
      </c>
      <c r="O27" s="23">
        <v>0.0</v>
      </c>
      <c r="P27" s="24">
        <v>0.0</v>
      </c>
      <c r="Q27" s="23">
        <v>0.0</v>
      </c>
      <c r="R27" s="24">
        <v>0.0</v>
      </c>
      <c r="S27" s="26">
        <f t="shared" si="3"/>
        <v>0</v>
      </c>
      <c r="T27" s="23">
        <v>0.0</v>
      </c>
      <c r="U27" s="23">
        <v>0.0</v>
      </c>
      <c r="V27" s="23">
        <v>0.0</v>
      </c>
      <c r="W27" s="23">
        <v>0.0</v>
      </c>
      <c r="X27" s="26">
        <f t="shared" si="4"/>
        <v>0</v>
      </c>
    </row>
    <row r="28">
      <c r="A28" s="20" t="s">
        <v>49</v>
      </c>
      <c r="B28" s="21">
        <v>1.0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1.0</v>
      </c>
      <c r="I28" s="23">
        <v>0.0</v>
      </c>
      <c r="J28" s="25">
        <f t="shared" si="1"/>
        <v>1</v>
      </c>
      <c r="K28" s="23">
        <v>1.0</v>
      </c>
      <c r="L28" s="23">
        <v>0.0</v>
      </c>
      <c r="M28" s="25">
        <f t="shared" si="2"/>
        <v>1</v>
      </c>
      <c r="N28" s="23">
        <v>1.0</v>
      </c>
      <c r="O28" s="23">
        <v>0.0</v>
      </c>
      <c r="P28" s="24">
        <v>0.0</v>
      </c>
      <c r="Q28" s="23">
        <v>0.0</v>
      </c>
      <c r="R28" s="24">
        <v>0.0</v>
      </c>
      <c r="S28" s="26">
        <f t="shared" si="3"/>
        <v>1</v>
      </c>
      <c r="T28" s="23">
        <v>1.0</v>
      </c>
      <c r="U28" s="23">
        <v>0.0</v>
      </c>
      <c r="V28" s="23">
        <v>0.0</v>
      </c>
      <c r="W28" s="23">
        <v>0.0</v>
      </c>
      <c r="X28" s="26">
        <f t="shared" si="4"/>
        <v>1</v>
      </c>
    </row>
    <row r="29">
      <c r="A29" s="20" t="s">
        <v>50</v>
      </c>
      <c r="B29" s="21">
        <v>8.0</v>
      </c>
      <c r="C29" s="22">
        <v>1.0</v>
      </c>
      <c r="D29" s="23">
        <v>1.0</v>
      </c>
      <c r="E29" s="23">
        <v>0.0</v>
      </c>
      <c r="F29" s="23">
        <v>0.0</v>
      </c>
      <c r="G29" s="23">
        <v>1.0</v>
      </c>
      <c r="H29" s="23">
        <v>5.0</v>
      </c>
      <c r="I29" s="23">
        <v>0.0</v>
      </c>
      <c r="J29" s="25">
        <f t="shared" si="1"/>
        <v>8</v>
      </c>
      <c r="K29" s="23">
        <v>8.0</v>
      </c>
      <c r="L29" s="23">
        <v>0.0</v>
      </c>
      <c r="M29" s="25">
        <f t="shared" si="2"/>
        <v>8</v>
      </c>
      <c r="N29" s="23">
        <v>0.0</v>
      </c>
      <c r="O29" s="23">
        <v>8.0</v>
      </c>
      <c r="P29" s="24">
        <v>0.0</v>
      </c>
      <c r="Q29" s="23">
        <v>0.0</v>
      </c>
      <c r="R29" s="24">
        <v>0.0</v>
      </c>
      <c r="S29" s="26">
        <f t="shared" si="3"/>
        <v>8</v>
      </c>
      <c r="T29" s="23">
        <v>4.0</v>
      </c>
      <c r="U29" s="23">
        <v>0.0</v>
      </c>
      <c r="V29" s="23">
        <v>3.0</v>
      </c>
      <c r="W29" s="23">
        <v>1.0</v>
      </c>
      <c r="X29" s="26">
        <f t="shared" si="4"/>
        <v>8</v>
      </c>
    </row>
    <row r="30">
      <c r="A30" s="20" t="s">
        <v>51</v>
      </c>
      <c r="B30" s="27">
        <v>1.0</v>
      </c>
      <c r="C30" s="23">
        <v>0.0</v>
      </c>
      <c r="D30" s="23">
        <v>1.0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5">
        <f t="shared" si="1"/>
        <v>1</v>
      </c>
      <c r="K30" s="23">
        <v>1.0</v>
      </c>
      <c r="L30" s="23">
        <v>0.0</v>
      </c>
      <c r="M30" s="25">
        <f t="shared" si="2"/>
        <v>1</v>
      </c>
      <c r="N30" s="23">
        <v>0.0</v>
      </c>
      <c r="O30" s="23">
        <v>0.0</v>
      </c>
      <c r="P30" s="23">
        <v>0.0</v>
      </c>
      <c r="Q30" s="23">
        <v>1.0</v>
      </c>
      <c r="R30" s="23">
        <v>0.0</v>
      </c>
      <c r="S30" s="26">
        <f t="shared" si="3"/>
        <v>1</v>
      </c>
      <c r="T30" s="23">
        <v>1.0</v>
      </c>
      <c r="U30" s="23">
        <v>0.0</v>
      </c>
      <c r="V30" s="23">
        <v>0.0</v>
      </c>
      <c r="W30" s="23">
        <v>0.0</v>
      </c>
      <c r="X30" s="26">
        <f t="shared" si="4"/>
        <v>1</v>
      </c>
    </row>
    <row r="31">
      <c r="A31" s="20" t="s">
        <v>52</v>
      </c>
      <c r="B31" s="27">
        <v>14.0</v>
      </c>
      <c r="C31" s="23">
        <v>0.0</v>
      </c>
      <c r="D31" s="23">
        <v>12.0</v>
      </c>
      <c r="E31" s="23">
        <v>0.0</v>
      </c>
      <c r="F31" s="23">
        <v>0.0</v>
      </c>
      <c r="G31" s="23">
        <v>0.0</v>
      </c>
      <c r="H31" s="23">
        <v>2.0</v>
      </c>
      <c r="I31" s="23">
        <v>0.0</v>
      </c>
      <c r="J31" s="25">
        <f t="shared" si="1"/>
        <v>14</v>
      </c>
      <c r="K31" s="23">
        <v>14.0</v>
      </c>
      <c r="L31" s="23">
        <v>0.0</v>
      </c>
      <c r="M31" s="25">
        <f t="shared" si="2"/>
        <v>14</v>
      </c>
      <c r="N31" s="23">
        <v>1.0</v>
      </c>
      <c r="O31" s="23">
        <v>5.0</v>
      </c>
      <c r="P31" s="23">
        <v>7.0</v>
      </c>
      <c r="Q31" s="23">
        <v>1.0</v>
      </c>
      <c r="R31" s="23">
        <v>0.0</v>
      </c>
      <c r="S31" s="26">
        <f t="shared" si="3"/>
        <v>14</v>
      </c>
      <c r="T31" s="23">
        <v>6.0</v>
      </c>
      <c r="U31" s="23">
        <v>0.0</v>
      </c>
      <c r="V31" s="23">
        <v>2.0</v>
      </c>
      <c r="W31" s="23">
        <v>6.0</v>
      </c>
      <c r="X31" s="26">
        <f t="shared" si="4"/>
        <v>14</v>
      </c>
    </row>
    <row r="32">
      <c r="A32" s="20" t="s">
        <v>53</v>
      </c>
      <c r="B32" s="21">
        <v>13.0</v>
      </c>
      <c r="C32" s="23">
        <v>0.0</v>
      </c>
      <c r="D32" s="23">
        <v>3.0</v>
      </c>
      <c r="E32" s="23">
        <v>0.0</v>
      </c>
      <c r="F32" s="23">
        <v>0.0</v>
      </c>
      <c r="G32" s="23">
        <v>1.0</v>
      </c>
      <c r="H32" s="23">
        <v>9.0</v>
      </c>
      <c r="I32" s="23">
        <v>0.0</v>
      </c>
      <c r="J32" s="25">
        <f t="shared" si="1"/>
        <v>13</v>
      </c>
      <c r="K32" s="23">
        <v>12.0</v>
      </c>
      <c r="L32" s="23">
        <v>1.0</v>
      </c>
      <c r="M32" s="25">
        <f t="shared" si="2"/>
        <v>13</v>
      </c>
      <c r="N32" s="23">
        <v>3.0</v>
      </c>
      <c r="O32" s="22">
        <v>7.0</v>
      </c>
      <c r="P32" s="24">
        <v>3.0</v>
      </c>
      <c r="Q32" s="22">
        <v>0.0</v>
      </c>
      <c r="R32" s="23">
        <v>0.0</v>
      </c>
      <c r="S32" s="26">
        <f t="shared" si="3"/>
        <v>13</v>
      </c>
      <c r="T32" s="23">
        <v>12.0</v>
      </c>
      <c r="U32" s="23">
        <v>0.0</v>
      </c>
      <c r="V32" s="23">
        <v>1.0</v>
      </c>
      <c r="W32" s="23">
        <v>0.0</v>
      </c>
      <c r="X32" s="26">
        <f t="shared" si="4"/>
        <v>13</v>
      </c>
    </row>
    <row r="33">
      <c r="A33" s="20" t="s">
        <v>54</v>
      </c>
      <c r="B33" s="21">
        <v>1.0</v>
      </c>
      <c r="C33" s="23">
        <v>0.0</v>
      </c>
      <c r="D33" s="23">
        <v>0.0</v>
      </c>
      <c r="E33" s="23">
        <v>0.0</v>
      </c>
      <c r="F33" s="23">
        <v>0.0</v>
      </c>
      <c r="G33" s="23">
        <v>0.0</v>
      </c>
      <c r="H33" s="23">
        <v>1.0</v>
      </c>
      <c r="I33" s="23">
        <v>0.0</v>
      </c>
      <c r="J33" s="25">
        <f t="shared" si="1"/>
        <v>1</v>
      </c>
      <c r="K33" s="23">
        <v>1.0</v>
      </c>
      <c r="L33" s="23">
        <v>0.0</v>
      </c>
      <c r="M33" s="25">
        <f t="shared" si="2"/>
        <v>1</v>
      </c>
      <c r="N33" s="23">
        <v>0.0</v>
      </c>
      <c r="O33" s="23">
        <v>1.0</v>
      </c>
      <c r="P33" s="24">
        <v>0.0</v>
      </c>
      <c r="Q33" s="23">
        <v>0.0</v>
      </c>
      <c r="R33" s="23">
        <v>0.0</v>
      </c>
      <c r="S33" s="26">
        <f t="shared" si="3"/>
        <v>1</v>
      </c>
      <c r="T33" s="23">
        <v>1.0</v>
      </c>
      <c r="U33" s="23">
        <v>0.0</v>
      </c>
      <c r="V33" s="23">
        <v>0.0</v>
      </c>
      <c r="W33" s="23">
        <v>0.0</v>
      </c>
      <c r="X33" s="26">
        <f t="shared" si="4"/>
        <v>1</v>
      </c>
    </row>
    <row r="34">
      <c r="A34" s="20" t="s">
        <v>55</v>
      </c>
      <c r="B34" s="27">
        <v>12.0</v>
      </c>
      <c r="C34" s="23">
        <v>0.0</v>
      </c>
      <c r="D34" s="23">
        <v>10.0</v>
      </c>
      <c r="E34" s="23">
        <v>0.0</v>
      </c>
      <c r="F34" s="23">
        <v>0.0</v>
      </c>
      <c r="G34" s="23">
        <v>0.0</v>
      </c>
      <c r="H34" s="23">
        <v>2.0</v>
      </c>
      <c r="I34" s="23">
        <v>0.0</v>
      </c>
      <c r="J34" s="25">
        <f t="shared" si="1"/>
        <v>12</v>
      </c>
      <c r="K34" s="23">
        <v>12.0</v>
      </c>
      <c r="L34" s="23">
        <v>0.0</v>
      </c>
      <c r="M34" s="25">
        <f t="shared" si="2"/>
        <v>12</v>
      </c>
      <c r="N34" s="23">
        <v>1.0</v>
      </c>
      <c r="O34" s="23">
        <v>1.0</v>
      </c>
      <c r="P34" s="23">
        <v>8.0</v>
      </c>
      <c r="Q34" s="23">
        <v>0.0</v>
      </c>
      <c r="R34" s="23">
        <v>2.0</v>
      </c>
      <c r="S34" s="26">
        <f t="shared" si="3"/>
        <v>12</v>
      </c>
      <c r="T34" s="23">
        <v>9.0</v>
      </c>
      <c r="U34" s="23">
        <v>0.0</v>
      </c>
      <c r="V34" s="23">
        <v>3.0</v>
      </c>
      <c r="W34" s="23">
        <v>0.0</v>
      </c>
      <c r="X34" s="26">
        <f t="shared" si="4"/>
        <v>12</v>
      </c>
    </row>
    <row r="35">
      <c r="A35" s="20" t="s">
        <v>56</v>
      </c>
      <c r="B35" s="27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48.0</v>
      </c>
      <c r="C36" s="23">
        <v>0.0</v>
      </c>
      <c r="D36" s="23">
        <v>43.0</v>
      </c>
      <c r="E36" s="23">
        <v>0.0</v>
      </c>
      <c r="F36" s="23">
        <v>0.0</v>
      </c>
      <c r="G36" s="23">
        <v>1.0</v>
      </c>
      <c r="H36" s="22">
        <v>4.0</v>
      </c>
      <c r="I36" s="23">
        <v>0.0</v>
      </c>
      <c r="J36" s="25">
        <f t="shared" si="1"/>
        <v>48</v>
      </c>
      <c r="K36" s="23">
        <v>46.0</v>
      </c>
      <c r="L36" s="23">
        <v>2.0</v>
      </c>
      <c r="M36" s="25">
        <f t="shared" si="2"/>
        <v>48</v>
      </c>
      <c r="N36" s="23">
        <v>13.0</v>
      </c>
      <c r="O36" s="23">
        <v>20.0</v>
      </c>
      <c r="P36" s="24">
        <v>15.0</v>
      </c>
      <c r="Q36" s="23">
        <v>0.0</v>
      </c>
      <c r="R36" s="23">
        <v>0.0</v>
      </c>
      <c r="S36" s="26">
        <f t="shared" si="3"/>
        <v>48</v>
      </c>
      <c r="T36" s="23">
        <v>18.0</v>
      </c>
      <c r="U36" s="23">
        <v>0.0</v>
      </c>
      <c r="V36" s="23">
        <v>22.0</v>
      </c>
      <c r="W36" s="23">
        <v>8.0</v>
      </c>
      <c r="X36" s="26">
        <f t="shared" si="4"/>
        <v>48</v>
      </c>
    </row>
    <row r="37">
      <c r="A37" s="20" t="s">
        <v>58</v>
      </c>
      <c r="B37" s="21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9">
        <v>0.0</v>
      </c>
      <c r="D38" s="29">
        <v>0.0</v>
      </c>
      <c r="E38" s="29">
        <v>0.0</v>
      </c>
      <c r="F38" s="29">
        <v>0.0</v>
      </c>
      <c r="G38" s="29">
        <v>0.0</v>
      </c>
      <c r="H38" s="29">
        <v>0.0</v>
      </c>
      <c r="I38" s="29">
        <v>0.0</v>
      </c>
      <c r="J38" s="25">
        <f t="shared" si="1"/>
        <v>0</v>
      </c>
      <c r="K38" s="29">
        <v>0.0</v>
      </c>
      <c r="L38" s="29">
        <v>0.0</v>
      </c>
      <c r="M38" s="25">
        <f t="shared" si="2"/>
        <v>0</v>
      </c>
      <c r="N38" s="29">
        <v>0.0</v>
      </c>
      <c r="O38" s="29">
        <v>0.0</v>
      </c>
      <c r="P38" s="29">
        <v>0.0</v>
      </c>
      <c r="Q38" s="29">
        <v>0.0</v>
      </c>
      <c r="R38" s="29">
        <v>0.0</v>
      </c>
      <c r="S38" s="26">
        <f t="shared" si="3"/>
        <v>0</v>
      </c>
      <c r="T38" s="29">
        <v>0.0</v>
      </c>
      <c r="U38" s="29">
        <v>0.0</v>
      </c>
      <c r="V38" s="29">
        <v>0.0</v>
      </c>
      <c r="W38" s="29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/>
      <c r="C39" s="29"/>
      <c r="D39" s="29"/>
      <c r="E39" s="29"/>
      <c r="F39" s="29"/>
      <c r="G39" s="29"/>
      <c r="H39" s="29"/>
      <c r="I39" s="29"/>
      <c r="J39" s="25"/>
      <c r="K39" s="29"/>
      <c r="L39" s="29"/>
      <c r="M39" s="25"/>
      <c r="N39" s="29">
        <v>0.0</v>
      </c>
      <c r="O39" s="29">
        <v>0.0</v>
      </c>
      <c r="P39" s="29">
        <v>0.0</v>
      </c>
      <c r="Q39" s="29">
        <v>0.0</v>
      </c>
      <c r="R39" s="29">
        <v>0.0</v>
      </c>
      <c r="S39" s="29">
        <v>0.0</v>
      </c>
      <c r="T39" s="29"/>
      <c r="U39" s="29"/>
      <c r="V39" s="29"/>
      <c r="W39" s="29"/>
      <c r="X39" s="26"/>
      <c r="Y39" s="30"/>
      <c r="Z39" s="30"/>
    </row>
    <row r="40">
      <c r="A40" s="20" t="s">
        <v>61</v>
      </c>
      <c r="B40" s="28">
        <v>0.0</v>
      </c>
      <c r="C40" s="29">
        <v>0.0</v>
      </c>
      <c r="D40" s="29">
        <v>0.0</v>
      </c>
      <c r="E40" s="29">
        <v>0.0</v>
      </c>
      <c r="F40" s="29">
        <v>0.0</v>
      </c>
      <c r="G40" s="29">
        <v>0.0</v>
      </c>
      <c r="H40" s="29">
        <v>0.0</v>
      </c>
      <c r="I40" s="29">
        <v>0.0</v>
      </c>
      <c r="J40" s="25">
        <f t="shared" ref="J40:J53" si="5">sum(C40:I40)</f>
        <v>0</v>
      </c>
      <c r="K40" s="29">
        <v>0.0</v>
      </c>
      <c r="L40" s="29">
        <v>0.0</v>
      </c>
      <c r="M40" s="25">
        <f t="shared" ref="M40:M53" si="6">sum(K40:L40)</f>
        <v>0</v>
      </c>
      <c r="N40" s="29">
        <v>0.0</v>
      </c>
      <c r="O40" s="29">
        <v>0.0</v>
      </c>
      <c r="P40" s="29">
        <v>0.0</v>
      </c>
      <c r="Q40" s="29">
        <v>0.0</v>
      </c>
      <c r="R40" s="29">
        <v>0.0</v>
      </c>
      <c r="S40" s="26">
        <f t="shared" ref="S40:S53" si="7">sum(N40:R40)</f>
        <v>0</v>
      </c>
      <c r="T40" s="29">
        <v>0.0</v>
      </c>
      <c r="U40" s="29">
        <v>0.0</v>
      </c>
      <c r="V40" s="29">
        <v>0.0</v>
      </c>
      <c r="W40" s="29">
        <v>0.0</v>
      </c>
      <c r="X40" s="26">
        <f t="shared" ref="X40:X53" si="8">sum(T40:W40)</f>
        <v>0</v>
      </c>
      <c r="Y40" s="30"/>
      <c r="Z40" s="30"/>
    </row>
    <row r="41">
      <c r="A41" s="20" t="s">
        <v>62</v>
      </c>
      <c r="B41" s="27">
        <v>12.0</v>
      </c>
      <c r="C41" s="23">
        <v>0.0</v>
      </c>
      <c r="D41" s="23">
        <v>12.0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5">
        <f t="shared" si="5"/>
        <v>12</v>
      </c>
      <c r="K41" s="23">
        <v>12.0</v>
      </c>
      <c r="L41" s="23">
        <v>0.0</v>
      </c>
      <c r="M41" s="25">
        <f t="shared" si="6"/>
        <v>12</v>
      </c>
      <c r="N41" s="23">
        <v>0.0</v>
      </c>
      <c r="O41" s="23">
        <v>2.0</v>
      </c>
      <c r="P41" s="23">
        <v>8.0</v>
      </c>
      <c r="Q41" s="23">
        <v>2.0</v>
      </c>
      <c r="R41" s="23">
        <v>0.0</v>
      </c>
      <c r="S41" s="26">
        <f t="shared" si="7"/>
        <v>12</v>
      </c>
      <c r="T41" s="23">
        <v>4.0</v>
      </c>
      <c r="U41" s="23">
        <v>0.0</v>
      </c>
      <c r="V41" s="23">
        <v>3.0</v>
      </c>
      <c r="W41" s="23">
        <v>5.0</v>
      </c>
      <c r="X41" s="26">
        <f t="shared" si="8"/>
        <v>12</v>
      </c>
    </row>
    <row r="42">
      <c r="A42" s="20" t="s">
        <v>63</v>
      </c>
      <c r="B42" s="27">
        <v>3.0</v>
      </c>
      <c r="C42" s="23">
        <v>0.0</v>
      </c>
      <c r="D42" s="23">
        <v>3.0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5">
        <f t="shared" si="5"/>
        <v>3</v>
      </c>
      <c r="K42" s="23">
        <v>3.0</v>
      </c>
      <c r="L42" s="23">
        <v>0.0</v>
      </c>
      <c r="M42" s="25">
        <f t="shared" si="6"/>
        <v>3</v>
      </c>
      <c r="N42" s="23">
        <v>0.0</v>
      </c>
      <c r="O42" s="23">
        <v>0.0</v>
      </c>
      <c r="P42" s="23">
        <v>2.0</v>
      </c>
      <c r="Q42" s="23">
        <v>1.0</v>
      </c>
      <c r="R42" s="23">
        <v>0.0</v>
      </c>
      <c r="S42" s="26">
        <f t="shared" si="7"/>
        <v>3</v>
      </c>
      <c r="T42" s="23">
        <v>0.0</v>
      </c>
      <c r="U42" s="23">
        <v>0.0</v>
      </c>
      <c r="V42" s="23">
        <v>3.0</v>
      </c>
      <c r="W42" s="23">
        <v>0.0</v>
      </c>
      <c r="X42" s="26">
        <f t="shared" si="8"/>
        <v>3</v>
      </c>
    </row>
    <row r="43">
      <c r="A43" s="20" t="s">
        <v>64</v>
      </c>
      <c r="B43" s="27">
        <v>1.0</v>
      </c>
      <c r="C43" s="23">
        <v>0.0</v>
      </c>
      <c r="D43" s="23">
        <v>1.0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5">
        <f t="shared" si="5"/>
        <v>1</v>
      </c>
      <c r="K43" s="23">
        <v>1.0</v>
      </c>
      <c r="L43" s="23">
        <v>0.0</v>
      </c>
      <c r="M43" s="25">
        <f t="shared" si="6"/>
        <v>1</v>
      </c>
      <c r="N43" s="23">
        <v>0.0</v>
      </c>
      <c r="O43" s="23">
        <v>0.0</v>
      </c>
      <c r="P43" s="23">
        <v>0.0</v>
      </c>
      <c r="Q43" s="23">
        <v>0.0</v>
      </c>
      <c r="R43" s="23">
        <v>1.0</v>
      </c>
      <c r="S43" s="26">
        <f t="shared" si="7"/>
        <v>1</v>
      </c>
      <c r="T43" s="23">
        <v>0.0</v>
      </c>
      <c r="U43" s="23">
        <v>0.0</v>
      </c>
      <c r="V43" s="23">
        <v>1.0</v>
      </c>
      <c r="W43" s="23">
        <v>0.0</v>
      </c>
      <c r="X43" s="26">
        <f t="shared" si="8"/>
        <v>1</v>
      </c>
    </row>
    <row r="44">
      <c r="A44" s="20" t="s">
        <v>65</v>
      </c>
      <c r="B44" s="27">
        <v>1.0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1.0</v>
      </c>
      <c r="I44" s="23">
        <v>0.0</v>
      </c>
      <c r="J44" s="25">
        <f t="shared" si="5"/>
        <v>1</v>
      </c>
      <c r="K44" s="23">
        <v>1.0</v>
      </c>
      <c r="L44" s="23">
        <v>0.0</v>
      </c>
      <c r="M44" s="25">
        <f t="shared" si="6"/>
        <v>1</v>
      </c>
      <c r="N44" s="23">
        <v>0.0</v>
      </c>
      <c r="O44" s="23">
        <v>1.0</v>
      </c>
      <c r="P44" s="23">
        <v>0.0</v>
      </c>
      <c r="Q44" s="23">
        <v>0.0</v>
      </c>
      <c r="R44" s="23">
        <v>0.0</v>
      </c>
      <c r="S44" s="26">
        <f t="shared" si="7"/>
        <v>1</v>
      </c>
      <c r="T44" s="23">
        <v>1.0</v>
      </c>
      <c r="U44" s="23">
        <v>0.0</v>
      </c>
      <c r="V44" s="23">
        <v>0.0</v>
      </c>
      <c r="W44" s="23">
        <v>0.0</v>
      </c>
      <c r="X44" s="26">
        <f t="shared" si="8"/>
        <v>1</v>
      </c>
    </row>
    <row r="45">
      <c r="A45" s="20" t="s">
        <v>66</v>
      </c>
      <c r="B45" s="27">
        <v>16.0</v>
      </c>
      <c r="C45" s="23">
        <v>1.0</v>
      </c>
      <c r="D45" s="23">
        <v>3.0</v>
      </c>
      <c r="E45" s="23">
        <v>0.0</v>
      </c>
      <c r="F45" s="23">
        <v>0.0</v>
      </c>
      <c r="G45" s="23">
        <v>3.0</v>
      </c>
      <c r="H45" s="23">
        <v>9.0</v>
      </c>
      <c r="I45" s="23">
        <v>0.0</v>
      </c>
      <c r="J45" s="25">
        <f t="shared" si="5"/>
        <v>16</v>
      </c>
      <c r="K45" s="23">
        <v>15.0</v>
      </c>
      <c r="L45" s="23">
        <v>1.0</v>
      </c>
      <c r="M45" s="25">
        <f t="shared" si="6"/>
        <v>16</v>
      </c>
      <c r="N45" s="23">
        <v>1.0</v>
      </c>
      <c r="O45" s="23">
        <v>15.0</v>
      </c>
      <c r="P45" s="23">
        <v>0.0</v>
      </c>
      <c r="Q45" s="23">
        <v>0.0</v>
      </c>
      <c r="R45" s="23">
        <v>0.0</v>
      </c>
      <c r="S45" s="26">
        <f t="shared" si="7"/>
        <v>16</v>
      </c>
      <c r="T45" s="23">
        <v>14.0</v>
      </c>
      <c r="U45" s="23">
        <v>0.0</v>
      </c>
      <c r="V45" s="23">
        <v>2.0</v>
      </c>
      <c r="W45" s="23">
        <v>0.0</v>
      </c>
      <c r="X45" s="26">
        <f t="shared" si="8"/>
        <v>16</v>
      </c>
    </row>
    <row r="46">
      <c r="A46" s="20" t="s">
        <v>67</v>
      </c>
      <c r="B46" s="27">
        <v>1.0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1.0</v>
      </c>
      <c r="I46" s="23">
        <v>0.0</v>
      </c>
      <c r="J46" s="25">
        <f t="shared" si="5"/>
        <v>1</v>
      </c>
      <c r="K46" s="23">
        <v>1.0</v>
      </c>
      <c r="L46" s="23">
        <v>0.0</v>
      </c>
      <c r="M46" s="25">
        <f t="shared" si="6"/>
        <v>1</v>
      </c>
      <c r="N46" s="23">
        <v>0.0</v>
      </c>
      <c r="O46" s="23">
        <v>1.0</v>
      </c>
      <c r="P46" s="23">
        <v>0.0</v>
      </c>
      <c r="Q46" s="23">
        <v>0.0</v>
      </c>
      <c r="R46" s="23">
        <v>0.0</v>
      </c>
      <c r="S46" s="26">
        <f t="shared" si="7"/>
        <v>1</v>
      </c>
      <c r="T46" s="23">
        <v>1.0</v>
      </c>
      <c r="U46" s="23">
        <v>0.0</v>
      </c>
      <c r="V46" s="23">
        <v>0.0</v>
      </c>
      <c r="W46" s="23">
        <v>0.0</v>
      </c>
      <c r="X46" s="26">
        <f t="shared" si="8"/>
        <v>1</v>
      </c>
    </row>
    <row r="47">
      <c r="A47" s="20" t="s">
        <v>68</v>
      </c>
      <c r="B47" s="27">
        <v>7.0</v>
      </c>
      <c r="C47" s="23">
        <v>1.0</v>
      </c>
      <c r="D47" s="23">
        <v>4.0</v>
      </c>
      <c r="E47" s="23">
        <v>0.0</v>
      </c>
      <c r="F47" s="23">
        <v>0.0</v>
      </c>
      <c r="G47" s="23">
        <v>1.0</v>
      </c>
      <c r="H47" s="23">
        <v>1.0</v>
      </c>
      <c r="I47" s="23">
        <v>0.0</v>
      </c>
      <c r="J47" s="25">
        <f t="shared" si="5"/>
        <v>7</v>
      </c>
      <c r="K47" s="23">
        <v>7.0</v>
      </c>
      <c r="L47" s="23">
        <v>0.0</v>
      </c>
      <c r="M47" s="25">
        <f t="shared" si="6"/>
        <v>7</v>
      </c>
      <c r="N47" s="23">
        <v>7.0</v>
      </c>
      <c r="O47" s="23">
        <v>0.0</v>
      </c>
      <c r="P47" s="23">
        <v>0.0</v>
      </c>
      <c r="Q47" s="23">
        <v>0.0</v>
      </c>
      <c r="R47" s="23">
        <v>0.0</v>
      </c>
      <c r="S47" s="26">
        <f t="shared" si="7"/>
        <v>7</v>
      </c>
      <c r="T47" s="23">
        <v>6.0</v>
      </c>
      <c r="U47" s="23">
        <v>0.0</v>
      </c>
      <c r="V47" s="23">
        <v>1.0</v>
      </c>
      <c r="W47" s="23">
        <v>0.0</v>
      </c>
      <c r="X47" s="26">
        <f t="shared" si="8"/>
        <v>7</v>
      </c>
    </row>
    <row r="48">
      <c r="A48" s="20" t="s">
        <v>69</v>
      </c>
      <c r="B48" s="21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5">
        <f t="shared" si="5"/>
        <v>0</v>
      </c>
      <c r="K48" s="23">
        <v>0.0</v>
      </c>
      <c r="L48" s="23">
        <v>0.0</v>
      </c>
      <c r="M48" s="25">
        <f t="shared" si="6"/>
        <v>0</v>
      </c>
      <c r="N48" s="23">
        <v>0.0</v>
      </c>
      <c r="O48" s="24">
        <v>0.0</v>
      </c>
      <c r="P48" s="23">
        <v>0.0</v>
      </c>
      <c r="Q48" s="23">
        <v>0.0</v>
      </c>
      <c r="R48" s="23">
        <v>0.0</v>
      </c>
      <c r="S48" s="26">
        <f t="shared" si="7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8"/>
        <v>0</v>
      </c>
    </row>
    <row r="49">
      <c r="A49" s="20" t="s">
        <v>70</v>
      </c>
      <c r="B49" s="21">
        <v>4.0</v>
      </c>
      <c r="C49" s="22">
        <v>1.0</v>
      </c>
      <c r="D49" s="23">
        <v>0.0</v>
      </c>
      <c r="E49" s="23">
        <v>0.0</v>
      </c>
      <c r="F49" s="23">
        <v>0.0</v>
      </c>
      <c r="G49" s="23">
        <v>0.0</v>
      </c>
      <c r="H49" s="23">
        <v>3.0</v>
      </c>
      <c r="I49" s="23">
        <v>0.0</v>
      </c>
      <c r="J49" s="25">
        <f t="shared" si="5"/>
        <v>4</v>
      </c>
      <c r="K49" s="23">
        <v>4.0</v>
      </c>
      <c r="L49" s="24">
        <v>0.0</v>
      </c>
      <c r="M49" s="25">
        <f t="shared" si="6"/>
        <v>4</v>
      </c>
      <c r="N49" s="23">
        <v>0.0</v>
      </c>
      <c r="O49" s="22">
        <v>4.0</v>
      </c>
      <c r="P49" s="24">
        <v>0.0</v>
      </c>
      <c r="Q49" s="23">
        <v>0.0</v>
      </c>
      <c r="R49" s="22">
        <v>0.0</v>
      </c>
      <c r="S49" s="26">
        <f t="shared" si="7"/>
        <v>4</v>
      </c>
      <c r="T49" s="23">
        <v>4.0</v>
      </c>
      <c r="U49" s="23">
        <v>0.0</v>
      </c>
      <c r="V49" s="23">
        <v>0.0</v>
      </c>
      <c r="W49" s="24">
        <v>0.0</v>
      </c>
      <c r="X49" s="26">
        <f t="shared" si="8"/>
        <v>4</v>
      </c>
    </row>
    <row r="50">
      <c r="A50" s="20" t="s">
        <v>71</v>
      </c>
      <c r="B50" s="21">
        <v>10.0</v>
      </c>
      <c r="C50" s="22">
        <v>0.0</v>
      </c>
      <c r="D50" s="23">
        <v>4.0</v>
      </c>
      <c r="E50" s="23">
        <v>0.0</v>
      </c>
      <c r="F50" s="23">
        <v>0.0</v>
      </c>
      <c r="G50" s="23">
        <v>4.0</v>
      </c>
      <c r="H50" s="23">
        <v>2.0</v>
      </c>
      <c r="I50" s="23">
        <v>0.0</v>
      </c>
      <c r="J50" s="25">
        <f t="shared" si="5"/>
        <v>10</v>
      </c>
      <c r="K50" s="23">
        <v>10.0</v>
      </c>
      <c r="L50" s="23">
        <v>0.0</v>
      </c>
      <c r="M50" s="25">
        <f t="shared" si="6"/>
        <v>10</v>
      </c>
      <c r="N50" s="23">
        <v>3.0</v>
      </c>
      <c r="O50" s="22">
        <v>6.0</v>
      </c>
      <c r="P50" s="23">
        <v>0.0</v>
      </c>
      <c r="Q50" s="23">
        <v>1.0</v>
      </c>
      <c r="R50" s="24">
        <v>0.0</v>
      </c>
      <c r="S50" s="26">
        <f t="shared" si="7"/>
        <v>10</v>
      </c>
      <c r="T50" s="23">
        <v>9.0</v>
      </c>
      <c r="U50" s="23">
        <v>0.0</v>
      </c>
      <c r="V50" s="23">
        <v>1.0</v>
      </c>
      <c r="W50" s="23">
        <v>0.0</v>
      </c>
      <c r="X50" s="26">
        <f t="shared" si="8"/>
        <v>10</v>
      </c>
    </row>
    <row r="51">
      <c r="A51" s="20" t="s">
        <v>72</v>
      </c>
      <c r="B51" s="21">
        <v>7.0</v>
      </c>
      <c r="C51" s="22">
        <v>0.0</v>
      </c>
      <c r="D51" s="22">
        <v>3.0</v>
      </c>
      <c r="E51" s="22">
        <v>0.0</v>
      </c>
      <c r="F51" s="22">
        <v>0.0</v>
      </c>
      <c r="G51" s="22">
        <v>3.0</v>
      </c>
      <c r="H51" s="22">
        <v>1.0</v>
      </c>
      <c r="I51" s="22">
        <v>0.0</v>
      </c>
      <c r="J51" s="25">
        <f t="shared" si="5"/>
        <v>7</v>
      </c>
      <c r="K51" s="22">
        <v>7.0</v>
      </c>
      <c r="L51" s="22">
        <v>0.0</v>
      </c>
      <c r="M51" s="25">
        <f t="shared" si="6"/>
        <v>7</v>
      </c>
      <c r="N51" s="22">
        <v>0.0</v>
      </c>
      <c r="O51" s="22">
        <v>0.0</v>
      </c>
      <c r="P51" s="22">
        <v>1.0</v>
      </c>
      <c r="Q51" s="22">
        <v>6.0</v>
      </c>
      <c r="R51" s="22">
        <v>0.0</v>
      </c>
      <c r="S51" s="26">
        <f t="shared" si="7"/>
        <v>7</v>
      </c>
      <c r="T51" s="22">
        <v>3.0</v>
      </c>
      <c r="U51" s="22">
        <v>0.0</v>
      </c>
      <c r="V51" s="22">
        <v>3.0</v>
      </c>
      <c r="W51" s="22">
        <v>1.0</v>
      </c>
      <c r="X51" s="26">
        <f t="shared" si="8"/>
        <v>7</v>
      </c>
    </row>
    <row r="52">
      <c r="A52" s="20" t="s">
        <v>73</v>
      </c>
      <c r="B52" s="31">
        <v>0.0</v>
      </c>
      <c r="C52" s="31">
        <v>0.0</v>
      </c>
      <c r="D52" s="31">
        <v>0.0</v>
      </c>
      <c r="E52" s="31">
        <v>0.0</v>
      </c>
      <c r="F52" s="31">
        <v>0.0</v>
      </c>
      <c r="G52" s="31">
        <v>0.0</v>
      </c>
      <c r="H52" s="31">
        <v>0.0</v>
      </c>
      <c r="I52" s="31">
        <v>0.0</v>
      </c>
      <c r="J52" s="25">
        <f t="shared" si="5"/>
        <v>0</v>
      </c>
      <c r="K52" s="32">
        <v>0.0</v>
      </c>
      <c r="L52" s="32">
        <v>0.0</v>
      </c>
      <c r="M52" s="25">
        <f t="shared" si="6"/>
        <v>0</v>
      </c>
      <c r="N52" s="32">
        <v>0.0</v>
      </c>
      <c r="O52" s="32">
        <v>0.0</v>
      </c>
      <c r="P52" s="32">
        <v>0.0</v>
      </c>
      <c r="Q52" s="32">
        <v>0.0</v>
      </c>
      <c r="R52" s="32">
        <v>0.0</v>
      </c>
      <c r="S52" s="26">
        <f t="shared" si="7"/>
        <v>0</v>
      </c>
      <c r="T52" s="31">
        <v>0.0</v>
      </c>
      <c r="U52" s="31">
        <v>0.0</v>
      </c>
      <c r="V52" s="31">
        <v>0.0</v>
      </c>
      <c r="W52" s="31">
        <v>0.0</v>
      </c>
      <c r="X52" s="26">
        <f t="shared" si="8"/>
        <v>0</v>
      </c>
    </row>
    <row r="53">
      <c r="A53" s="20" t="s">
        <v>74</v>
      </c>
      <c r="B53" s="31">
        <v>0.0</v>
      </c>
      <c r="C53" s="31">
        <v>0.0</v>
      </c>
      <c r="D53" s="31">
        <v>0.0</v>
      </c>
      <c r="E53" s="31">
        <v>0.0</v>
      </c>
      <c r="F53" s="31">
        <v>0.0</v>
      </c>
      <c r="G53" s="31">
        <v>0.0</v>
      </c>
      <c r="H53" s="31">
        <v>0.0</v>
      </c>
      <c r="I53" s="31">
        <v>0.0</v>
      </c>
      <c r="J53" s="25">
        <f t="shared" si="5"/>
        <v>0</v>
      </c>
      <c r="K53" s="31">
        <v>0.0</v>
      </c>
      <c r="L53" s="31">
        <v>0.0</v>
      </c>
      <c r="M53" s="25">
        <f t="shared" si="6"/>
        <v>0</v>
      </c>
      <c r="N53" s="31">
        <v>0.0</v>
      </c>
      <c r="O53" s="31">
        <v>0.0</v>
      </c>
      <c r="P53" s="31">
        <v>0.0</v>
      </c>
      <c r="Q53" s="31">
        <v>0.0</v>
      </c>
      <c r="R53" s="31">
        <v>0.0</v>
      </c>
      <c r="S53" s="26">
        <f t="shared" si="7"/>
        <v>0</v>
      </c>
      <c r="T53" s="31">
        <v>0.0</v>
      </c>
      <c r="U53" s="31">
        <v>0.0</v>
      </c>
      <c r="V53" s="31">
        <v>0.0</v>
      </c>
      <c r="W53" s="31">
        <v>0.0</v>
      </c>
      <c r="X53" s="26">
        <f t="shared" si="8"/>
        <v>0</v>
      </c>
    </row>
    <row r="54">
      <c r="A54" s="20" t="s">
        <v>75</v>
      </c>
      <c r="B54" s="31"/>
      <c r="C54" s="31"/>
      <c r="D54" s="31"/>
      <c r="E54" s="31"/>
      <c r="F54" s="31"/>
      <c r="G54" s="31"/>
      <c r="H54" s="31"/>
      <c r="I54" s="31"/>
      <c r="J54" s="25"/>
      <c r="K54" s="31"/>
      <c r="L54" s="31"/>
      <c r="M54" s="25"/>
      <c r="N54" s="31"/>
      <c r="O54" s="31"/>
      <c r="P54" s="31"/>
      <c r="Q54" s="31"/>
      <c r="R54" s="31"/>
      <c r="S54" s="26"/>
      <c r="T54" s="31"/>
      <c r="U54" s="31"/>
      <c r="V54" s="31"/>
      <c r="W54" s="31"/>
      <c r="X54" s="26"/>
    </row>
    <row r="55">
      <c r="A55" s="20" t="s">
        <v>76</v>
      </c>
      <c r="B55" s="31">
        <v>0.0</v>
      </c>
      <c r="C55" s="31">
        <v>0.0</v>
      </c>
      <c r="D55" s="31">
        <v>0.0</v>
      </c>
      <c r="E55" s="31">
        <v>0.0</v>
      </c>
      <c r="F55" s="31">
        <v>0.0</v>
      </c>
      <c r="G55" s="31">
        <v>0.0</v>
      </c>
      <c r="H55" s="31">
        <v>0.0</v>
      </c>
      <c r="I55" s="31">
        <v>0.0</v>
      </c>
      <c r="J55" s="25">
        <f t="shared" ref="J55:J58" si="9">sum(C55:I55)</f>
        <v>0</v>
      </c>
      <c r="K55" s="31">
        <v>0.0</v>
      </c>
      <c r="L55" s="31">
        <v>0.0</v>
      </c>
      <c r="M55" s="25">
        <f t="shared" ref="M55:M58" si="10">sum(K55:L55)</f>
        <v>0</v>
      </c>
      <c r="N55" s="31">
        <v>0.0</v>
      </c>
      <c r="O55" s="31">
        <v>0.0</v>
      </c>
      <c r="P55" s="31">
        <v>0.0</v>
      </c>
      <c r="Q55" s="31">
        <v>0.0</v>
      </c>
      <c r="R55" s="31">
        <v>0.0</v>
      </c>
      <c r="S55" s="26">
        <f t="shared" ref="S55:S58" si="11">sum(N55:R55)</f>
        <v>0</v>
      </c>
      <c r="T55" s="31">
        <v>0.0</v>
      </c>
      <c r="U55" s="31">
        <v>0.0</v>
      </c>
      <c r="V55" s="31">
        <v>0.0</v>
      </c>
      <c r="W55" s="31">
        <v>0.0</v>
      </c>
      <c r="X55" s="26">
        <f t="shared" ref="X55:X58" si="12">sum(T55:W55)</f>
        <v>0</v>
      </c>
    </row>
    <row r="56">
      <c r="A56" s="20" t="s">
        <v>77</v>
      </c>
      <c r="B56" s="31">
        <v>1.0</v>
      </c>
      <c r="C56" s="31">
        <v>0.0</v>
      </c>
      <c r="D56" s="31">
        <v>0.0</v>
      </c>
      <c r="E56" s="31">
        <v>0.0</v>
      </c>
      <c r="F56" s="31">
        <v>0.0</v>
      </c>
      <c r="G56" s="31">
        <v>0.0</v>
      </c>
      <c r="H56" s="31">
        <v>1.0</v>
      </c>
      <c r="I56" s="31">
        <v>0.0</v>
      </c>
      <c r="J56" s="25">
        <f t="shared" si="9"/>
        <v>1</v>
      </c>
      <c r="K56" s="31">
        <v>1.0</v>
      </c>
      <c r="L56" s="31">
        <v>0.0</v>
      </c>
      <c r="M56" s="25">
        <f t="shared" si="10"/>
        <v>1</v>
      </c>
      <c r="N56" s="31">
        <v>0.0</v>
      </c>
      <c r="O56" s="31">
        <v>1.0</v>
      </c>
      <c r="P56" s="31">
        <v>0.0</v>
      </c>
      <c r="Q56" s="31">
        <v>0.0</v>
      </c>
      <c r="R56" s="31">
        <v>0.0</v>
      </c>
      <c r="S56" s="26">
        <f t="shared" si="11"/>
        <v>1</v>
      </c>
      <c r="T56" s="31">
        <v>1.0</v>
      </c>
      <c r="U56" s="31">
        <v>0.0</v>
      </c>
      <c r="V56" s="31">
        <v>0.0</v>
      </c>
      <c r="W56" s="31">
        <v>0.0</v>
      </c>
      <c r="X56" s="26">
        <f t="shared" si="12"/>
        <v>1</v>
      </c>
    </row>
    <row r="57">
      <c r="A57" s="20" t="s">
        <v>78</v>
      </c>
      <c r="B57" s="34">
        <v>3.0</v>
      </c>
      <c r="C57" s="31">
        <v>0.0</v>
      </c>
      <c r="D57" s="31">
        <v>2.0</v>
      </c>
      <c r="E57" s="31">
        <v>0.0</v>
      </c>
      <c r="F57" s="31">
        <v>0.0</v>
      </c>
      <c r="G57" s="31">
        <v>1.0</v>
      </c>
      <c r="H57" s="31">
        <v>0.0</v>
      </c>
      <c r="I57" s="31">
        <v>0.0</v>
      </c>
      <c r="J57" s="25">
        <f t="shared" si="9"/>
        <v>3</v>
      </c>
      <c r="K57" s="31">
        <v>3.0</v>
      </c>
      <c r="L57" s="31">
        <v>0.0</v>
      </c>
      <c r="M57" s="25">
        <f t="shared" si="10"/>
        <v>3</v>
      </c>
      <c r="N57" s="31">
        <v>1.0</v>
      </c>
      <c r="O57" s="31">
        <v>0.0</v>
      </c>
      <c r="P57" s="31">
        <v>1.0</v>
      </c>
      <c r="Q57" s="31">
        <v>1.0</v>
      </c>
      <c r="R57" s="31">
        <v>0.0</v>
      </c>
      <c r="S57" s="26">
        <f t="shared" si="11"/>
        <v>3</v>
      </c>
      <c r="T57" s="31">
        <v>1.0</v>
      </c>
      <c r="U57" s="31">
        <v>0.0</v>
      </c>
      <c r="V57" s="31">
        <v>2.0</v>
      </c>
      <c r="W57" s="31">
        <v>0.0</v>
      </c>
      <c r="X57" s="26">
        <f t="shared" si="12"/>
        <v>3</v>
      </c>
    </row>
    <row r="58">
      <c r="A58" s="20" t="s">
        <v>79</v>
      </c>
      <c r="B58" s="31">
        <v>0.0</v>
      </c>
      <c r="C58" s="31">
        <v>0.0</v>
      </c>
      <c r="D58" s="31">
        <v>0.0</v>
      </c>
      <c r="E58" s="31">
        <v>0.0</v>
      </c>
      <c r="F58" s="31">
        <v>0.0</v>
      </c>
      <c r="G58" s="31">
        <v>0.0</v>
      </c>
      <c r="H58" s="31">
        <v>0.0</v>
      </c>
      <c r="I58" s="31">
        <v>0.0</v>
      </c>
      <c r="J58" s="25">
        <f t="shared" si="9"/>
        <v>0</v>
      </c>
      <c r="K58" s="31">
        <v>0.0</v>
      </c>
      <c r="L58" s="31">
        <v>0.0</v>
      </c>
      <c r="M58" s="25">
        <f t="shared" si="10"/>
        <v>0</v>
      </c>
      <c r="N58" s="31">
        <v>0.0</v>
      </c>
      <c r="O58" s="31">
        <v>0.0</v>
      </c>
      <c r="P58" s="31">
        <v>0.0</v>
      </c>
      <c r="Q58" s="31">
        <v>0.0</v>
      </c>
      <c r="R58" s="31">
        <v>0.0</v>
      </c>
      <c r="S58" s="26">
        <f t="shared" si="11"/>
        <v>0</v>
      </c>
      <c r="T58" s="31">
        <v>0.0</v>
      </c>
      <c r="U58" s="31">
        <v>0.0</v>
      </c>
      <c r="V58" s="31">
        <v>0.0</v>
      </c>
      <c r="W58" s="31">
        <v>0.0</v>
      </c>
      <c r="X58" s="26">
        <f t="shared" si="12"/>
        <v>0</v>
      </c>
    </row>
    <row r="59">
      <c r="A59" s="20" t="s">
        <v>80</v>
      </c>
      <c r="B59" s="31"/>
      <c r="C59" s="31"/>
      <c r="D59" s="31"/>
      <c r="E59" s="31"/>
      <c r="F59" s="31"/>
      <c r="G59" s="31"/>
      <c r="H59" s="31"/>
      <c r="I59" s="31"/>
      <c r="J59" s="25"/>
      <c r="K59" s="31"/>
      <c r="L59" s="31"/>
      <c r="M59" s="25"/>
      <c r="N59" s="31"/>
      <c r="O59" s="31"/>
      <c r="P59" s="31"/>
      <c r="Q59" s="31"/>
      <c r="R59" s="31"/>
      <c r="S59" s="26"/>
      <c r="T59" s="31"/>
      <c r="U59" s="31"/>
      <c r="V59" s="31"/>
      <c r="W59" s="31"/>
      <c r="X59" s="26"/>
    </row>
    <row r="60">
      <c r="A60" s="20" t="s">
        <v>81</v>
      </c>
      <c r="B60" s="31">
        <v>0.0</v>
      </c>
      <c r="C60" s="31">
        <v>0.0</v>
      </c>
      <c r="D60" s="31">
        <v>0.0</v>
      </c>
      <c r="E60" s="31">
        <v>0.0</v>
      </c>
      <c r="F60" s="31">
        <v>0.0</v>
      </c>
      <c r="G60" s="31">
        <v>0.0</v>
      </c>
      <c r="H60" s="31">
        <v>0.0</v>
      </c>
      <c r="I60" s="31">
        <v>0.0</v>
      </c>
      <c r="J60" s="25">
        <f t="shared" ref="J60:J65" si="13">sum(C60:I60)</f>
        <v>0</v>
      </c>
      <c r="K60" s="31">
        <v>0.0</v>
      </c>
      <c r="L60" s="31">
        <v>0.0</v>
      </c>
      <c r="M60" s="25">
        <f t="shared" ref="M60:M65" si="14">sum(K60:L60)</f>
        <v>0</v>
      </c>
      <c r="N60" s="31">
        <v>0.0</v>
      </c>
      <c r="O60" s="31">
        <v>0.0</v>
      </c>
      <c r="P60" s="31">
        <v>0.0</v>
      </c>
      <c r="Q60" s="31">
        <v>0.0</v>
      </c>
      <c r="R60" s="31">
        <v>0.0</v>
      </c>
      <c r="S60" s="26">
        <f t="shared" ref="S60:S65" si="15">sum(N60:R60)</f>
        <v>0</v>
      </c>
      <c r="T60" s="31">
        <v>0.0</v>
      </c>
      <c r="U60" s="31">
        <v>0.0</v>
      </c>
      <c r="V60" s="31">
        <v>0.0</v>
      </c>
      <c r="W60" s="31">
        <v>0.0</v>
      </c>
      <c r="X60" s="26">
        <f t="shared" ref="X60:X65" si="16">sum(T60:W60)</f>
        <v>0</v>
      </c>
    </row>
    <row r="61">
      <c r="A61" s="20" t="s">
        <v>82</v>
      </c>
      <c r="B61" s="31">
        <v>4.0</v>
      </c>
      <c r="C61" s="31">
        <v>0.0</v>
      </c>
      <c r="D61" s="31">
        <v>1.0</v>
      </c>
      <c r="E61" s="31">
        <v>0.0</v>
      </c>
      <c r="F61" s="31">
        <v>0.0</v>
      </c>
      <c r="G61" s="31">
        <v>0.0</v>
      </c>
      <c r="H61" s="31">
        <v>3.0</v>
      </c>
      <c r="I61" s="31">
        <v>0.0</v>
      </c>
      <c r="J61" s="25">
        <f t="shared" si="13"/>
        <v>4</v>
      </c>
      <c r="K61" s="31">
        <v>3.0</v>
      </c>
      <c r="L61" s="31">
        <v>1.0</v>
      </c>
      <c r="M61" s="25">
        <f t="shared" si="14"/>
        <v>4</v>
      </c>
      <c r="N61" s="31">
        <v>0.0</v>
      </c>
      <c r="O61" s="31">
        <v>4.0</v>
      </c>
      <c r="P61" s="31">
        <v>0.0</v>
      </c>
      <c r="Q61" s="31">
        <v>0.0</v>
      </c>
      <c r="R61" s="31">
        <v>0.0</v>
      </c>
      <c r="S61" s="26">
        <f t="shared" si="15"/>
        <v>4</v>
      </c>
      <c r="T61" s="31">
        <v>4.0</v>
      </c>
      <c r="U61" s="31">
        <v>0.0</v>
      </c>
      <c r="V61" s="31">
        <v>0.0</v>
      </c>
      <c r="W61" s="31">
        <v>0.0</v>
      </c>
      <c r="X61" s="26">
        <f t="shared" si="16"/>
        <v>4</v>
      </c>
    </row>
    <row r="62">
      <c r="A62" s="20" t="s">
        <v>83</v>
      </c>
      <c r="B62" s="31">
        <v>4.0</v>
      </c>
      <c r="C62" s="31">
        <v>0.0</v>
      </c>
      <c r="D62" s="31">
        <v>3.0</v>
      </c>
      <c r="E62" s="31">
        <v>0.0</v>
      </c>
      <c r="F62" s="31">
        <v>0.0</v>
      </c>
      <c r="G62" s="31">
        <v>1.0</v>
      </c>
      <c r="H62" s="31">
        <v>0.0</v>
      </c>
      <c r="I62" s="31">
        <v>0.0</v>
      </c>
      <c r="J62" s="25">
        <f t="shared" si="13"/>
        <v>4</v>
      </c>
      <c r="K62" s="31">
        <v>4.0</v>
      </c>
      <c r="L62" s="31">
        <v>0.0</v>
      </c>
      <c r="M62" s="25">
        <f t="shared" si="14"/>
        <v>4</v>
      </c>
      <c r="N62" s="31">
        <v>1.0</v>
      </c>
      <c r="O62" s="31">
        <v>1.0</v>
      </c>
      <c r="P62" s="31">
        <v>2.0</v>
      </c>
      <c r="Q62" s="31">
        <v>0.0</v>
      </c>
      <c r="R62" s="31">
        <v>0.0</v>
      </c>
      <c r="S62" s="26">
        <f t="shared" si="15"/>
        <v>4</v>
      </c>
      <c r="T62" s="31">
        <v>2.0</v>
      </c>
      <c r="U62" s="31">
        <v>0.0</v>
      </c>
      <c r="V62" s="31">
        <v>1.0</v>
      </c>
      <c r="W62" s="31">
        <v>1.0</v>
      </c>
      <c r="X62" s="26">
        <f t="shared" si="16"/>
        <v>4</v>
      </c>
    </row>
    <row r="63">
      <c r="A63" s="20" t="s">
        <v>84</v>
      </c>
      <c r="B63" s="31">
        <v>36.0</v>
      </c>
      <c r="C63" s="31">
        <v>1.0</v>
      </c>
      <c r="D63" s="31">
        <v>34.0</v>
      </c>
      <c r="E63" s="31">
        <v>0.0</v>
      </c>
      <c r="F63" s="31">
        <v>0.0</v>
      </c>
      <c r="G63" s="31">
        <v>0.0</v>
      </c>
      <c r="H63" s="31">
        <v>1.0</v>
      </c>
      <c r="I63" s="31">
        <v>0.0</v>
      </c>
      <c r="J63" s="25">
        <f t="shared" si="13"/>
        <v>36</v>
      </c>
      <c r="K63" s="31">
        <v>36.0</v>
      </c>
      <c r="L63" s="31">
        <v>0.0</v>
      </c>
      <c r="M63" s="25">
        <f t="shared" si="14"/>
        <v>36</v>
      </c>
      <c r="N63" s="31">
        <v>33.0</v>
      </c>
      <c r="O63" s="31">
        <v>2.0</v>
      </c>
      <c r="P63" s="31">
        <v>0.0</v>
      </c>
      <c r="Q63" s="31">
        <v>0.0</v>
      </c>
      <c r="R63" s="31">
        <v>1.0</v>
      </c>
      <c r="S63" s="26">
        <f t="shared" si="15"/>
        <v>36</v>
      </c>
      <c r="T63" s="31">
        <v>19.0</v>
      </c>
      <c r="U63" s="31">
        <v>7.0</v>
      </c>
      <c r="V63" s="31">
        <v>9.0</v>
      </c>
      <c r="W63" s="31">
        <v>1.0</v>
      </c>
      <c r="X63" s="26">
        <f t="shared" si="16"/>
        <v>36</v>
      </c>
    </row>
    <row r="64">
      <c r="A64" s="20" t="s">
        <v>85</v>
      </c>
      <c r="B64" s="31">
        <v>3.0</v>
      </c>
      <c r="C64" s="31">
        <v>0.0</v>
      </c>
      <c r="D64" s="31">
        <v>2.0</v>
      </c>
      <c r="E64" s="31">
        <v>0.0</v>
      </c>
      <c r="F64" s="31">
        <v>0.0</v>
      </c>
      <c r="G64" s="31">
        <v>0.0</v>
      </c>
      <c r="H64" s="31">
        <v>1.0</v>
      </c>
      <c r="I64" s="31">
        <v>0.0</v>
      </c>
      <c r="J64" s="25">
        <f t="shared" si="13"/>
        <v>3</v>
      </c>
      <c r="K64" s="31">
        <v>3.0</v>
      </c>
      <c r="L64" s="31">
        <v>0.0</v>
      </c>
      <c r="M64" s="25">
        <f t="shared" si="14"/>
        <v>3</v>
      </c>
      <c r="N64" s="31">
        <v>1.0</v>
      </c>
      <c r="O64" s="31">
        <v>0.0</v>
      </c>
      <c r="P64" s="31">
        <v>2.0</v>
      </c>
      <c r="Q64" s="31">
        <v>0.0</v>
      </c>
      <c r="R64" s="31">
        <v>0.0</v>
      </c>
      <c r="S64" s="26">
        <f t="shared" si="15"/>
        <v>3</v>
      </c>
      <c r="T64" s="31">
        <v>2.0</v>
      </c>
      <c r="U64" s="31">
        <v>0.0</v>
      </c>
      <c r="V64" s="31">
        <v>1.0</v>
      </c>
      <c r="W64" s="31">
        <v>0.0</v>
      </c>
      <c r="X64" s="26">
        <f t="shared" si="16"/>
        <v>3</v>
      </c>
    </row>
    <row r="65">
      <c r="A65" s="20" t="s">
        <v>86</v>
      </c>
      <c r="B65" s="31">
        <v>0.0</v>
      </c>
      <c r="C65" s="31">
        <v>0.0</v>
      </c>
      <c r="D65" s="31">
        <v>0.0</v>
      </c>
      <c r="E65" s="31">
        <v>0.0</v>
      </c>
      <c r="F65" s="31">
        <v>0.0</v>
      </c>
      <c r="G65" s="31">
        <v>0.0</v>
      </c>
      <c r="H65" s="31">
        <v>0.0</v>
      </c>
      <c r="I65" s="31">
        <v>0.0</v>
      </c>
      <c r="J65" s="25">
        <f t="shared" si="13"/>
        <v>0</v>
      </c>
      <c r="K65" s="31">
        <v>0.0</v>
      </c>
      <c r="L65" s="31">
        <v>0.0</v>
      </c>
      <c r="M65" s="25">
        <f t="shared" si="14"/>
        <v>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26">
        <f t="shared" si="15"/>
        <v>0</v>
      </c>
      <c r="T65" s="31">
        <v>0.0</v>
      </c>
      <c r="U65" s="31">
        <v>0.0</v>
      </c>
      <c r="V65" s="31">
        <v>0.0</v>
      </c>
      <c r="W65" s="31">
        <v>0.0</v>
      </c>
      <c r="X65" s="26">
        <f t="shared" si="16"/>
        <v>0</v>
      </c>
    </row>
    <row r="66">
      <c r="A66" s="31" t="s">
        <v>13</v>
      </c>
      <c r="B66" s="35">
        <f t="shared" ref="B66:X66" si="17">SUM(B4:B65)</f>
        <v>760</v>
      </c>
      <c r="C66" s="35">
        <f t="shared" si="17"/>
        <v>7</v>
      </c>
      <c r="D66" s="35">
        <f t="shared" si="17"/>
        <v>436</v>
      </c>
      <c r="E66" s="35">
        <f t="shared" si="17"/>
        <v>0</v>
      </c>
      <c r="F66" s="35">
        <f t="shared" si="17"/>
        <v>0</v>
      </c>
      <c r="G66" s="35">
        <f t="shared" si="17"/>
        <v>125</v>
      </c>
      <c r="H66" s="35">
        <f t="shared" si="17"/>
        <v>192</v>
      </c>
      <c r="I66" s="35">
        <f t="shared" si="17"/>
        <v>0</v>
      </c>
      <c r="J66" s="35">
        <f t="shared" si="17"/>
        <v>760</v>
      </c>
      <c r="K66" s="35">
        <f t="shared" si="17"/>
        <v>746</v>
      </c>
      <c r="L66" s="35">
        <f t="shared" si="17"/>
        <v>14</v>
      </c>
      <c r="M66" s="35">
        <f t="shared" si="17"/>
        <v>760</v>
      </c>
      <c r="N66" s="35">
        <f t="shared" si="17"/>
        <v>322</v>
      </c>
      <c r="O66" s="35">
        <f t="shared" si="17"/>
        <v>253</v>
      </c>
      <c r="P66" s="35">
        <f t="shared" si="17"/>
        <v>137</v>
      </c>
      <c r="Q66" s="35">
        <f t="shared" si="17"/>
        <v>42</v>
      </c>
      <c r="R66" s="35">
        <f t="shared" si="17"/>
        <v>6</v>
      </c>
      <c r="S66" s="35">
        <f t="shared" si="17"/>
        <v>760</v>
      </c>
      <c r="T66" s="35">
        <f t="shared" si="17"/>
        <v>569</v>
      </c>
      <c r="U66" s="35">
        <f t="shared" si="17"/>
        <v>11</v>
      </c>
      <c r="V66" s="35">
        <f t="shared" si="17"/>
        <v>119</v>
      </c>
      <c r="W66" s="35">
        <f t="shared" si="17"/>
        <v>61</v>
      </c>
      <c r="X66" s="35">
        <f t="shared" si="17"/>
        <v>760</v>
      </c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19.0</v>
      </c>
      <c r="C4" s="22">
        <v>0.0</v>
      </c>
      <c r="D4" s="23">
        <v>17.0</v>
      </c>
      <c r="E4" s="23">
        <v>0.0</v>
      </c>
      <c r="F4" s="23">
        <v>0.0</v>
      </c>
      <c r="G4" s="24">
        <v>1.0</v>
      </c>
      <c r="H4" s="22">
        <v>1.0</v>
      </c>
      <c r="I4" s="23">
        <v>0.0</v>
      </c>
      <c r="J4" s="25">
        <f t="shared" ref="J4:J38" si="1">sum(C4:I4)</f>
        <v>19</v>
      </c>
      <c r="K4" s="23">
        <v>14.0</v>
      </c>
      <c r="L4" s="23">
        <v>5.0</v>
      </c>
      <c r="M4" s="25">
        <f t="shared" ref="M4:M38" si="2">sum(K4:L4)</f>
        <v>19</v>
      </c>
      <c r="N4" s="23">
        <v>13.0</v>
      </c>
      <c r="O4" s="22">
        <v>4.0</v>
      </c>
      <c r="P4" s="23">
        <v>0.0</v>
      </c>
      <c r="Q4" s="22">
        <v>1.0</v>
      </c>
      <c r="R4" s="22">
        <v>1.0</v>
      </c>
      <c r="S4" s="26">
        <f t="shared" ref="S4:S38" si="3">sum(N4:R4)</f>
        <v>19</v>
      </c>
      <c r="T4" s="23">
        <v>15.0</v>
      </c>
      <c r="U4" s="23">
        <v>1.0</v>
      </c>
      <c r="V4" s="23">
        <v>1.0</v>
      </c>
      <c r="W4" s="23">
        <v>2.0</v>
      </c>
      <c r="X4" s="26">
        <f t="shared" ref="X4:X38" si="4">sum(T4:W4)</f>
        <v>19</v>
      </c>
    </row>
    <row r="5">
      <c r="A5" s="20" t="s">
        <v>26</v>
      </c>
      <c r="B5" s="21">
        <v>2.0</v>
      </c>
      <c r="C5" s="22">
        <v>0.0</v>
      </c>
      <c r="D5" s="23">
        <v>2.0</v>
      </c>
      <c r="E5" s="24">
        <v>0.0</v>
      </c>
      <c r="F5" s="23">
        <v>0.0</v>
      </c>
      <c r="G5" s="23">
        <v>0.0</v>
      </c>
      <c r="H5" s="22">
        <v>0.0</v>
      </c>
      <c r="I5" s="23">
        <v>0.0</v>
      </c>
      <c r="J5" s="25">
        <f t="shared" si="1"/>
        <v>2</v>
      </c>
      <c r="K5" s="23">
        <v>2.0</v>
      </c>
      <c r="L5" s="23">
        <v>0.0</v>
      </c>
      <c r="M5" s="25">
        <f t="shared" si="2"/>
        <v>2</v>
      </c>
      <c r="N5" s="23">
        <v>0.0</v>
      </c>
      <c r="O5" s="22">
        <v>0.0</v>
      </c>
      <c r="P5" s="23">
        <v>0.0</v>
      </c>
      <c r="Q5" s="23">
        <v>2.0</v>
      </c>
      <c r="R5" s="23">
        <v>0.0</v>
      </c>
      <c r="S5" s="26">
        <f t="shared" si="3"/>
        <v>2</v>
      </c>
      <c r="T5" s="23">
        <v>0.0</v>
      </c>
      <c r="U5" s="24">
        <v>0.0</v>
      </c>
      <c r="V5" s="23">
        <v>1.0</v>
      </c>
      <c r="W5" s="23">
        <v>1.0</v>
      </c>
      <c r="X5" s="26">
        <f t="shared" si="4"/>
        <v>2</v>
      </c>
    </row>
    <row r="6">
      <c r="A6" s="20" t="s">
        <v>27</v>
      </c>
      <c r="B6" s="21">
        <v>3.0</v>
      </c>
      <c r="C6" s="22">
        <v>0.0</v>
      </c>
      <c r="D6" s="23">
        <v>3.0</v>
      </c>
      <c r="E6" s="24">
        <v>0.0</v>
      </c>
      <c r="F6" s="23">
        <v>0.0</v>
      </c>
      <c r="G6" s="23">
        <v>0.0</v>
      </c>
      <c r="H6" s="22">
        <v>0.0</v>
      </c>
      <c r="I6" s="23">
        <v>0.0</v>
      </c>
      <c r="J6" s="25">
        <f t="shared" si="1"/>
        <v>3</v>
      </c>
      <c r="K6" s="23">
        <v>3.0</v>
      </c>
      <c r="L6" s="23">
        <v>0.0</v>
      </c>
      <c r="M6" s="25">
        <f t="shared" si="2"/>
        <v>3</v>
      </c>
      <c r="N6" s="23">
        <v>1.0</v>
      </c>
      <c r="O6" s="22">
        <v>0.0</v>
      </c>
      <c r="P6" s="23">
        <v>2.0</v>
      </c>
      <c r="Q6" s="23">
        <v>0.0</v>
      </c>
      <c r="R6" s="23">
        <v>0.0</v>
      </c>
      <c r="S6" s="26">
        <f t="shared" si="3"/>
        <v>3</v>
      </c>
      <c r="T6" s="23">
        <v>2.0</v>
      </c>
      <c r="U6" s="24">
        <v>0.0</v>
      </c>
      <c r="V6" s="23">
        <v>0.0</v>
      </c>
      <c r="W6" s="23">
        <v>1.0</v>
      </c>
      <c r="X6" s="26">
        <f t="shared" si="4"/>
        <v>3</v>
      </c>
    </row>
    <row r="7">
      <c r="A7" s="20" t="s">
        <v>28</v>
      </c>
      <c r="B7" s="21">
        <v>1.0</v>
      </c>
      <c r="C7" s="23">
        <v>0.0</v>
      </c>
      <c r="D7" s="23">
        <v>1.0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5">
        <f t="shared" si="1"/>
        <v>1</v>
      </c>
      <c r="K7" s="23">
        <v>1.0</v>
      </c>
      <c r="L7" s="23">
        <v>0.0</v>
      </c>
      <c r="M7" s="25">
        <f t="shared" si="2"/>
        <v>1</v>
      </c>
      <c r="N7" s="23">
        <v>0.0</v>
      </c>
      <c r="O7" s="22">
        <v>0.0</v>
      </c>
      <c r="P7" s="23">
        <v>0.0</v>
      </c>
      <c r="Q7" s="23">
        <v>1.0</v>
      </c>
      <c r="R7" s="23">
        <v>0.0</v>
      </c>
      <c r="S7" s="26">
        <f t="shared" si="3"/>
        <v>1</v>
      </c>
      <c r="T7" s="23">
        <v>0.0</v>
      </c>
      <c r="U7" s="23">
        <v>0.0</v>
      </c>
      <c r="V7" s="23">
        <v>0.0</v>
      </c>
      <c r="W7" s="23">
        <v>1.0</v>
      </c>
      <c r="X7" s="26">
        <f t="shared" si="4"/>
        <v>1</v>
      </c>
    </row>
    <row r="8">
      <c r="A8" s="20" t="s">
        <v>29</v>
      </c>
      <c r="B8" s="21">
        <v>6.0</v>
      </c>
      <c r="C8" s="23">
        <v>0.0</v>
      </c>
      <c r="D8" s="23">
        <v>2.0</v>
      </c>
      <c r="E8" s="23">
        <v>0.0</v>
      </c>
      <c r="F8" s="23">
        <v>0.0</v>
      </c>
      <c r="G8" s="23">
        <v>2.0</v>
      </c>
      <c r="H8" s="23">
        <v>2.0</v>
      </c>
      <c r="I8" s="23">
        <v>0.0</v>
      </c>
      <c r="J8" s="25">
        <f t="shared" si="1"/>
        <v>6</v>
      </c>
      <c r="K8" s="23">
        <v>6.0</v>
      </c>
      <c r="L8" s="23">
        <v>0.0</v>
      </c>
      <c r="M8" s="25">
        <f t="shared" si="2"/>
        <v>6</v>
      </c>
      <c r="N8" s="23">
        <v>5.0</v>
      </c>
      <c r="O8" s="22">
        <v>0.0</v>
      </c>
      <c r="P8" s="23">
        <v>1.0</v>
      </c>
      <c r="Q8" s="23">
        <v>0.0</v>
      </c>
      <c r="R8" s="23">
        <v>0.0</v>
      </c>
      <c r="S8" s="26">
        <f t="shared" si="3"/>
        <v>6</v>
      </c>
      <c r="T8" s="23">
        <v>4.0</v>
      </c>
      <c r="U8" s="23">
        <v>0.0</v>
      </c>
      <c r="V8" s="23">
        <v>0.0</v>
      </c>
      <c r="W8" s="23">
        <v>2.0</v>
      </c>
      <c r="X8" s="26">
        <f t="shared" si="4"/>
        <v>6</v>
      </c>
    </row>
    <row r="9">
      <c r="A9" s="20" t="s">
        <v>30</v>
      </c>
      <c r="B9" s="21">
        <v>9.0</v>
      </c>
      <c r="C9" s="23">
        <v>0.0</v>
      </c>
      <c r="D9" s="23">
        <v>9.0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5">
        <f t="shared" si="1"/>
        <v>9</v>
      </c>
      <c r="K9" s="23">
        <v>9.0</v>
      </c>
      <c r="L9" s="23">
        <v>0.0</v>
      </c>
      <c r="M9" s="25">
        <f t="shared" si="2"/>
        <v>9</v>
      </c>
      <c r="N9" s="23">
        <v>0.0</v>
      </c>
      <c r="O9" s="22">
        <v>1.0</v>
      </c>
      <c r="P9" s="23">
        <v>2.0</v>
      </c>
      <c r="Q9" s="23">
        <v>5.0</v>
      </c>
      <c r="R9" s="23">
        <v>1.0</v>
      </c>
      <c r="S9" s="26">
        <f t="shared" si="3"/>
        <v>9</v>
      </c>
      <c r="T9" s="23">
        <v>2.0</v>
      </c>
      <c r="U9" s="23">
        <v>0.0</v>
      </c>
      <c r="V9" s="23">
        <v>5.0</v>
      </c>
      <c r="W9" s="23">
        <v>2.0</v>
      </c>
      <c r="X9" s="26">
        <f t="shared" si="4"/>
        <v>9</v>
      </c>
    </row>
    <row r="10">
      <c r="A10" s="20" t="s">
        <v>31</v>
      </c>
      <c r="B10" s="21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5">
        <f t="shared" si="1"/>
        <v>0</v>
      </c>
      <c r="K10" s="23">
        <v>0.0</v>
      </c>
      <c r="L10" s="23">
        <v>0.0</v>
      </c>
      <c r="M10" s="25">
        <f t="shared" si="2"/>
        <v>0</v>
      </c>
      <c r="N10" s="23">
        <v>0.0</v>
      </c>
      <c r="O10" s="22">
        <v>0.0</v>
      </c>
      <c r="P10" s="23">
        <v>0.0</v>
      </c>
      <c r="Q10" s="23">
        <v>0.0</v>
      </c>
      <c r="R10" s="23">
        <v>0.0</v>
      </c>
      <c r="S10" s="26">
        <f t="shared" si="3"/>
        <v>0</v>
      </c>
      <c r="T10" s="23">
        <v>0.0</v>
      </c>
      <c r="U10" s="23">
        <v>0.0</v>
      </c>
      <c r="V10" s="23">
        <v>0.0</v>
      </c>
      <c r="W10" s="23">
        <v>0.0</v>
      </c>
      <c r="X10" s="26">
        <f t="shared" si="4"/>
        <v>0</v>
      </c>
    </row>
    <row r="11">
      <c r="A11" s="20" t="s">
        <v>32</v>
      </c>
      <c r="B11" s="21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2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27.0</v>
      </c>
      <c r="C12" s="23">
        <v>0.0</v>
      </c>
      <c r="D12" s="23">
        <v>15.0</v>
      </c>
      <c r="E12" s="23">
        <v>0.0</v>
      </c>
      <c r="F12" s="23">
        <v>0.0</v>
      </c>
      <c r="G12" s="23">
        <v>9.0</v>
      </c>
      <c r="H12" s="23">
        <v>3.0</v>
      </c>
      <c r="I12" s="23">
        <v>0.0</v>
      </c>
      <c r="J12" s="25">
        <f t="shared" si="1"/>
        <v>27</v>
      </c>
      <c r="K12" s="23">
        <v>27.0</v>
      </c>
      <c r="L12" s="23">
        <v>0.0</v>
      </c>
      <c r="M12" s="25">
        <f t="shared" si="2"/>
        <v>27</v>
      </c>
      <c r="N12" s="23">
        <v>18.0</v>
      </c>
      <c r="O12" s="22">
        <v>3.0</v>
      </c>
      <c r="P12" s="23">
        <v>6.0</v>
      </c>
      <c r="Q12" s="23">
        <v>0.0</v>
      </c>
      <c r="R12" s="23">
        <v>0.0</v>
      </c>
      <c r="S12" s="26">
        <f t="shared" si="3"/>
        <v>27</v>
      </c>
      <c r="T12" s="23">
        <v>20.0</v>
      </c>
      <c r="U12" s="23">
        <v>0.0</v>
      </c>
      <c r="V12" s="23">
        <v>5.0</v>
      </c>
      <c r="W12" s="23">
        <v>2.0</v>
      </c>
      <c r="X12" s="26">
        <f t="shared" si="4"/>
        <v>27</v>
      </c>
    </row>
    <row r="13">
      <c r="A13" s="20" t="s">
        <v>34</v>
      </c>
      <c r="B13" s="21">
        <v>13.0</v>
      </c>
      <c r="C13" s="23">
        <v>0.0</v>
      </c>
      <c r="D13" s="23">
        <v>8.0</v>
      </c>
      <c r="E13" s="23">
        <v>0.0</v>
      </c>
      <c r="F13" s="23">
        <v>0.0</v>
      </c>
      <c r="G13" s="23">
        <v>1.0</v>
      </c>
      <c r="H13" s="23">
        <v>4.0</v>
      </c>
      <c r="I13" s="23">
        <v>0.0</v>
      </c>
      <c r="J13" s="25">
        <f t="shared" si="1"/>
        <v>13</v>
      </c>
      <c r="K13" s="23">
        <v>12.0</v>
      </c>
      <c r="L13" s="23">
        <v>1.0</v>
      </c>
      <c r="M13" s="25">
        <f t="shared" si="2"/>
        <v>13</v>
      </c>
      <c r="N13" s="23">
        <v>0.0</v>
      </c>
      <c r="O13" s="22">
        <v>3.0</v>
      </c>
      <c r="P13" s="24">
        <v>10.0</v>
      </c>
      <c r="Q13" s="22">
        <v>0.0</v>
      </c>
      <c r="R13" s="23">
        <v>0.0</v>
      </c>
      <c r="S13" s="26">
        <f t="shared" si="3"/>
        <v>13</v>
      </c>
      <c r="T13" s="23">
        <v>8.0</v>
      </c>
      <c r="U13" s="23">
        <v>0.0</v>
      </c>
      <c r="V13" s="23">
        <v>2.0</v>
      </c>
      <c r="W13" s="24">
        <v>3.0</v>
      </c>
      <c r="X13" s="26">
        <f t="shared" si="4"/>
        <v>13</v>
      </c>
    </row>
    <row r="14">
      <c r="A14" s="20" t="s">
        <v>35</v>
      </c>
      <c r="B14" s="27">
        <v>4.0</v>
      </c>
      <c r="C14" s="23">
        <v>0.0</v>
      </c>
      <c r="D14" s="23">
        <v>3.0</v>
      </c>
      <c r="E14" s="23">
        <v>0.0</v>
      </c>
      <c r="F14" s="23">
        <v>0.0</v>
      </c>
      <c r="G14" s="23">
        <v>0.0</v>
      </c>
      <c r="H14" s="23">
        <v>1.0</v>
      </c>
      <c r="I14" s="23">
        <v>0.0</v>
      </c>
      <c r="J14" s="25">
        <f t="shared" si="1"/>
        <v>4</v>
      </c>
      <c r="K14" s="23">
        <v>4.0</v>
      </c>
      <c r="L14" s="23">
        <v>0.0</v>
      </c>
      <c r="M14" s="25">
        <f t="shared" si="2"/>
        <v>4</v>
      </c>
      <c r="N14" s="23">
        <v>2.0</v>
      </c>
      <c r="O14" s="23">
        <v>2.0</v>
      </c>
      <c r="P14" s="23">
        <v>0.0</v>
      </c>
      <c r="Q14" s="23">
        <v>0.0</v>
      </c>
      <c r="R14" s="23">
        <v>0.0</v>
      </c>
      <c r="S14" s="26">
        <f t="shared" si="3"/>
        <v>4</v>
      </c>
      <c r="T14" s="23">
        <v>2.0</v>
      </c>
      <c r="U14" s="23">
        <v>1.0</v>
      </c>
      <c r="V14" s="23">
        <v>0.0</v>
      </c>
      <c r="W14" s="23">
        <v>1.0</v>
      </c>
      <c r="X14" s="26">
        <f t="shared" si="4"/>
        <v>4</v>
      </c>
    </row>
    <row r="15">
      <c r="A15" s="20" t="s">
        <v>36</v>
      </c>
      <c r="B15" s="21">
        <v>0.0</v>
      </c>
      <c r="C15" s="23">
        <v>0.0</v>
      </c>
      <c r="D15" s="23">
        <v>0.0</v>
      </c>
      <c r="E15" s="23">
        <v>0.0</v>
      </c>
      <c r="F15" s="23">
        <v>0.0</v>
      </c>
      <c r="G15" s="22">
        <v>0.0</v>
      </c>
      <c r="H15" s="22">
        <v>0.0</v>
      </c>
      <c r="I15" s="23">
        <v>0.0</v>
      </c>
      <c r="J15" s="25">
        <f t="shared" si="1"/>
        <v>0</v>
      </c>
      <c r="K15" s="23">
        <v>0.0</v>
      </c>
      <c r="L15" s="24">
        <v>0.0</v>
      </c>
      <c r="M15" s="25">
        <f t="shared" si="2"/>
        <v>0</v>
      </c>
      <c r="N15" s="23">
        <v>0.0</v>
      </c>
      <c r="O15" s="22">
        <v>0.0</v>
      </c>
      <c r="P15" s="24">
        <v>0.0</v>
      </c>
      <c r="Q15" s="24">
        <v>0.0</v>
      </c>
      <c r="R15" s="24">
        <v>0.0</v>
      </c>
      <c r="S15" s="26">
        <f t="shared" si="3"/>
        <v>0</v>
      </c>
      <c r="T15" s="23">
        <v>0.0</v>
      </c>
      <c r="U15" s="23">
        <v>0.0</v>
      </c>
      <c r="V15" s="24">
        <v>0.0</v>
      </c>
      <c r="W15" s="23">
        <v>0.0</v>
      </c>
      <c r="X15" s="26">
        <f t="shared" si="4"/>
        <v>0</v>
      </c>
    </row>
    <row r="16">
      <c r="A16" s="20" t="s">
        <v>37</v>
      </c>
      <c r="B16" s="21">
        <v>12.0</v>
      </c>
      <c r="C16" s="23">
        <v>0.0</v>
      </c>
      <c r="D16" s="23">
        <v>11.0</v>
      </c>
      <c r="E16" s="23">
        <v>0.0</v>
      </c>
      <c r="F16" s="23">
        <v>0.0</v>
      </c>
      <c r="G16" s="22">
        <v>0.0</v>
      </c>
      <c r="H16" s="22">
        <v>1.0</v>
      </c>
      <c r="I16" s="23">
        <v>0.0</v>
      </c>
      <c r="J16" s="25">
        <f t="shared" si="1"/>
        <v>12</v>
      </c>
      <c r="K16" s="23">
        <v>11.0</v>
      </c>
      <c r="L16" s="24">
        <v>1.0</v>
      </c>
      <c r="M16" s="25">
        <f t="shared" si="2"/>
        <v>12</v>
      </c>
      <c r="N16" s="23">
        <v>0.0</v>
      </c>
      <c r="O16" s="22">
        <v>5.0</v>
      </c>
      <c r="P16" s="24">
        <v>7.0</v>
      </c>
      <c r="Q16" s="24">
        <v>0.0</v>
      </c>
      <c r="R16" s="24">
        <v>0.0</v>
      </c>
      <c r="S16" s="26">
        <f t="shared" si="3"/>
        <v>12</v>
      </c>
      <c r="T16" s="23">
        <v>5.0</v>
      </c>
      <c r="U16" s="23">
        <v>0.0</v>
      </c>
      <c r="V16" s="24">
        <v>6.0</v>
      </c>
      <c r="W16" s="23">
        <v>1.0</v>
      </c>
      <c r="X16" s="26">
        <f t="shared" si="4"/>
        <v>12</v>
      </c>
    </row>
    <row r="17">
      <c r="A17" s="20" t="s">
        <v>38</v>
      </c>
      <c r="B17" s="21">
        <v>2.0</v>
      </c>
      <c r="C17" s="23">
        <v>0.0</v>
      </c>
      <c r="D17" s="23">
        <v>2.0</v>
      </c>
      <c r="E17" s="23">
        <v>0.0</v>
      </c>
      <c r="F17" s="23">
        <v>0.0</v>
      </c>
      <c r="G17" s="22">
        <v>0.0</v>
      </c>
      <c r="H17" s="22">
        <v>0.0</v>
      </c>
      <c r="I17" s="23">
        <v>0.0</v>
      </c>
      <c r="J17" s="25">
        <f t="shared" si="1"/>
        <v>2</v>
      </c>
      <c r="K17" s="23">
        <v>2.0</v>
      </c>
      <c r="L17" s="24">
        <v>0.0</v>
      </c>
      <c r="M17" s="25">
        <f t="shared" si="2"/>
        <v>2</v>
      </c>
      <c r="N17" s="23">
        <v>0.0</v>
      </c>
      <c r="O17" s="22">
        <v>1.0</v>
      </c>
      <c r="P17" s="24">
        <v>0.0</v>
      </c>
      <c r="Q17" s="24">
        <v>1.0</v>
      </c>
      <c r="R17" s="24">
        <v>0.0</v>
      </c>
      <c r="S17" s="26">
        <f t="shared" si="3"/>
        <v>2</v>
      </c>
      <c r="T17" s="23">
        <v>0.0</v>
      </c>
      <c r="U17" s="23">
        <v>0.0</v>
      </c>
      <c r="V17" s="24">
        <v>0.0</v>
      </c>
      <c r="W17" s="23">
        <v>2.0</v>
      </c>
      <c r="X17" s="26">
        <f t="shared" si="4"/>
        <v>2</v>
      </c>
    </row>
    <row r="18">
      <c r="A18" s="20" t="s">
        <v>39</v>
      </c>
      <c r="B18" s="27">
        <v>60.0</v>
      </c>
      <c r="C18" s="23">
        <v>3.0</v>
      </c>
      <c r="D18" s="23">
        <v>36.0</v>
      </c>
      <c r="E18" s="23">
        <v>1.0</v>
      </c>
      <c r="F18" s="23">
        <v>0.0</v>
      </c>
      <c r="G18" s="23">
        <v>3.0</v>
      </c>
      <c r="H18" s="23">
        <v>15.0</v>
      </c>
      <c r="I18" s="23">
        <v>2.0</v>
      </c>
      <c r="J18" s="25">
        <f t="shared" si="1"/>
        <v>60</v>
      </c>
      <c r="K18" s="23">
        <v>50.0</v>
      </c>
      <c r="L18" s="23">
        <v>10.0</v>
      </c>
      <c r="M18" s="25">
        <f t="shared" si="2"/>
        <v>60</v>
      </c>
      <c r="N18" s="23">
        <v>14.0</v>
      </c>
      <c r="O18" s="23">
        <v>23.0</v>
      </c>
      <c r="P18" s="23">
        <v>16.0</v>
      </c>
      <c r="Q18" s="23">
        <v>2.0</v>
      </c>
      <c r="R18" s="23">
        <v>5.0</v>
      </c>
      <c r="S18" s="26">
        <f t="shared" si="3"/>
        <v>60</v>
      </c>
      <c r="T18" s="23">
        <v>35.0</v>
      </c>
      <c r="U18" s="23">
        <v>5.0</v>
      </c>
      <c r="V18" s="23">
        <v>14.0</v>
      </c>
      <c r="W18" s="23">
        <v>6.0</v>
      </c>
      <c r="X18" s="26">
        <f t="shared" si="4"/>
        <v>60</v>
      </c>
    </row>
    <row r="19">
      <c r="A19" s="20" t="s">
        <v>40</v>
      </c>
      <c r="B19" s="27">
        <v>6.0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6.0</v>
      </c>
      <c r="I19" s="23">
        <v>0.0</v>
      </c>
      <c r="J19" s="25">
        <f t="shared" si="1"/>
        <v>6</v>
      </c>
      <c r="K19" s="23">
        <v>6.0</v>
      </c>
      <c r="L19" s="23">
        <v>0.0</v>
      </c>
      <c r="M19" s="25">
        <f t="shared" si="2"/>
        <v>6</v>
      </c>
      <c r="N19" s="23">
        <v>5.0</v>
      </c>
      <c r="O19" s="23">
        <v>1.0</v>
      </c>
      <c r="P19" s="23">
        <v>0.0</v>
      </c>
      <c r="Q19" s="23">
        <v>0.0</v>
      </c>
      <c r="R19" s="23">
        <v>0.0</v>
      </c>
      <c r="S19" s="26">
        <f t="shared" si="3"/>
        <v>6</v>
      </c>
      <c r="T19" s="23">
        <v>6.0</v>
      </c>
      <c r="U19" s="23">
        <v>0.0</v>
      </c>
      <c r="V19" s="23">
        <v>0.0</v>
      </c>
      <c r="W19" s="23">
        <v>0.0</v>
      </c>
      <c r="X19" s="26">
        <f t="shared" si="4"/>
        <v>6</v>
      </c>
    </row>
    <row r="20">
      <c r="A20" s="20" t="s">
        <v>41</v>
      </c>
      <c r="B20" s="21">
        <v>0.0</v>
      </c>
      <c r="C20" s="22">
        <v>0.0</v>
      </c>
      <c r="D20" s="23"/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2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4">
        <v>0.0</v>
      </c>
      <c r="X20" s="26">
        <f t="shared" si="4"/>
        <v>0</v>
      </c>
    </row>
    <row r="21">
      <c r="A21" s="20" t="s">
        <v>42</v>
      </c>
      <c r="B21" s="27">
        <v>12.0</v>
      </c>
      <c r="C21" s="23">
        <v>0.0</v>
      </c>
      <c r="D21" s="23">
        <v>9.0</v>
      </c>
      <c r="E21" s="23">
        <v>0.0</v>
      </c>
      <c r="F21" s="23">
        <v>0.0</v>
      </c>
      <c r="G21" s="23">
        <v>1.0</v>
      </c>
      <c r="H21" s="23">
        <v>2.0</v>
      </c>
      <c r="I21" s="23">
        <v>0.0</v>
      </c>
      <c r="J21" s="25">
        <f t="shared" si="1"/>
        <v>12</v>
      </c>
      <c r="K21" s="23">
        <v>9.0</v>
      </c>
      <c r="L21" s="23">
        <v>3.0</v>
      </c>
      <c r="M21" s="25">
        <f t="shared" si="2"/>
        <v>12</v>
      </c>
      <c r="N21" s="23">
        <v>6.0</v>
      </c>
      <c r="O21" s="23">
        <v>3.0</v>
      </c>
      <c r="P21" s="23">
        <v>1.0</v>
      </c>
      <c r="Q21" s="23">
        <v>1.0</v>
      </c>
      <c r="R21" s="23">
        <v>1.0</v>
      </c>
      <c r="S21" s="26">
        <f t="shared" si="3"/>
        <v>12</v>
      </c>
      <c r="T21" s="23">
        <v>8.0</v>
      </c>
      <c r="U21" s="23">
        <v>1.0</v>
      </c>
      <c r="V21" s="23">
        <v>3.0</v>
      </c>
      <c r="W21" s="23">
        <v>0.0</v>
      </c>
      <c r="X21" s="26">
        <f t="shared" si="4"/>
        <v>12</v>
      </c>
    </row>
    <row r="22">
      <c r="A22" s="20" t="s">
        <v>43</v>
      </c>
      <c r="B22" s="27">
        <v>63.0</v>
      </c>
      <c r="C22" s="23">
        <v>0.0</v>
      </c>
      <c r="D22" s="23">
        <v>57.0</v>
      </c>
      <c r="E22" s="23">
        <v>0.0</v>
      </c>
      <c r="F22" s="23">
        <v>0.0</v>
      </c>
      <c r="G22" s="23">
        <v>1.0</v>
      </c>
      <c r="H22" s="23">
        <v>5.0</v>
      </c>
      <c r="I22" s="23">
        <v>0.0</v>
      </c>
      <c r="J22" s="25">
        <f t="shared" si="1"/>
        <v>63</v>
      </c>
      <c r="K22" s="23">
        <v>62.0</v>
      </c>
      <c r="L22" s="23">
        <v>1.0</v>
      </c>
      <c r="M22" s="25">
        <f t="shared" si="2"/>
        <v>63</v>
      </c>
      <c r="N22" s="23">
        <v>27.0</v>
      </c>
      <c r="O22" s="23">
        <v>24.0</v>
      </c>
      <c r="P22" s="23">
        <v>8.0</v>
      </c>
      <c r="Q22" s="23">
        <v>1.0</v>
      </c>
      <c r="R22" s="23">
        <v>3.0</v>
      </c>
      <c r="S22" s="26">
        <f t="shared" si="3"/>
        <v>63</v>
      </c>
      <c r="T22" s="23">
        <v>62.0</v>
      </c>
      <c r="U22" s="23">
        <v>0.0</v>
      </c>
      <c r="V22" s="23">
        <v>0.0</v>
      </c>
      <c r="W22" s="23">
        <v>1.0</v>
      </c>
      <c r="X22" s="26">
        <f t="shared" si="4"/>
        <v>63</v>
      </c>
    </row>
    <row r="23">
      <c r="A23" s="20" t="s">
        <v>44</v>
      </c>
      <c r="B23" s="27">
        <v>22.0</v>
      </c>
      <c r="C23" s="23">
        <v>0.0</v>
      </c>
      <c r="D23" s="23">
        <v>21.0</v>
      </c>
      <c r="E23" s="23">
        <v>0.0</v>
      </c>
      <c r="F23" s="23">
        <v>0.0</v>
      </c>
      <c r="G23" s="23">
        <v>0.0</v>
      </c>
      <c r="H23" s="23">
        <v>1.0</v>
      </c>
      <c r="I23" s="23">
        <v>0.0</v>
      </c>
      <c r="J23" s="25">
        <f t="shared" si="1"/>
        <v>22</v>
      </c>
      <c r="K23" s="23">
        <v>21.0</v>
      </c>
      <c r="L23" s="23">
        <v>1.0</v>
      </c>
      <c r="M23" s="25">
        <f t="shared" si="2"/>
        <v>22</v>
      </c>
      <c r="N23" s="23">
        <v>19.0</v>
      </c>
      <c r="O23" s="23">
        <v>3.0</v>
      </c>
      <c r="P23" s="23">
        <v>0.0</v>
      </c>
      <c r="Q23" s="23">
        <v>0.0</v>
      </c>
      <c r="R23" s="23">
        <v>0.0</v>
      </c>
      <c r="S23" s="26">
        <f t="shared" si="3"/>
        <v>22</v>
      </c>
      <c r="T23" s="23">
        <v>20.0</v>
      </c>
      <c r="U23" s="23">
        <v>0.0</v>
      </c>
      <c r="V23" s="23">
        <v>1.0</v>
      </c>
      <c r="W23" s="23">
        <v>1.0</v>
      </c>
      <c r="X23" s="26">
        <f t="shared" si="4"/>
        <v>22</v>
      </c>
    </row>
    <row r="24">
      <c r="A24" s="20" t="s">
        <v>45</v>
      </c>
      <c r="B24" s="27">
        <v>2.0</v>
      </c>
      <c r="C24" s="23">
        <v>0.0</v>
      </c>
      <c r="D24" s="23">
        <v>2.0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5">
        <f t="shared" si="1"/>
        <v>2</v>
      </c>
      <c r="K24" s="23">
        <v>0.0</v>
      </c>
      <c r="L24" s="23">
        <v>2.0</v>
      </c>
      <c r="M24" s="25">
        <f t="shared" si="2"/>
        <v>2</v>
      </c>
      <c r="N24" s="23">
        <v>0.0</v>
      </c>
      <c r="O24" s="23">
        <v>2.0</v>
      </c>
      <c r="P24" s="23">
        <v>0.0</v>
      </c>
      <c r="Q24" s="23">
        <v>0.0</v>
      </c>
      <c r="R24" s="23">
        <v>0.0</v>
      </c>
      <c r="S24" s="26">
        <f t="shared" si="3"/>
        <v>2</v>
      </c>
      <c r="T24" s="23">
        <v>0.0</v>
      </c>
      <c r="U24" s="23">
        <v>0.0</v>
      </c>
      <c r="V24" s="23">
        <v>1.0</v>
      </c>
      <c r="W24" s="23">
        <v>1.0</v>
      </c>
      <c r="X24" s="26">
        <f t="shared" si="4"/>
        <v>2</v>
      </c>
    </row>
    <row r="25">
      <c r="A25" s="20" t="s">
        <v>46</v>
      </c>
      <c r="B25" s="27">
        <v>12.0</v>
      </c>
      <c r="C25" s="23">
        <v>1.0</v>
      </c>
      <c r="D25" s="23">
        <v>7.0</v>
      </c>
      <c r="E25" s="23">
        <v>0.0</v>
      </c>
      <c r="F25" s="23">
        <v>0.0</v>
      </c>
      <c r="G25" s="23">
        <v>0.0</v>
      </c>
      <c r="H25" s="23">
        <v>4.0</v>
      </c>
      <c r="I25" s="23">
        <v>0.0</v>
      </c>
      <c r="J25" s="25">
        <f t="shared" si="1"/>
        <v>12</v>
      </c>
      <c r="K25" s="23">
        <v>7.0</v>
      </c>
      <c r="L25" s="23">
        <v>5.0</v>
      </c>
      <c r="M25" s="25">
        <f t="shared" si="2"/>
        <v>12</v>
      </c>
      <c r="N25" s="23">
        <v>4.0</v>
      </c>
      <c r="O25" s="23">
        <v>8.0</v>
      </c>
      <c r="P25" s="23">
        <v>0.0</v>
      </c>
      <c r="Q25" s="23">
        <v>0.0</v>
      </c>
      <c r="R25" s="23">
        <v>0.0</v>
      </c>
      <c r="S25" s="26">
        <f t="shared" si="3"/>
        <v>12</v>
      </c>
      <c r="T25" s="23">
        <v>7.0</v>
      </c>
      <c r="U25" s="23">
        <v>0.0</v>
      </c>
      <c r="V25" s="23">
        <v>3.0</v>
      </c>
      <c r="W25" s="23">
        <v>2.0</v>
      </c>
      <c r="X25" s="26">
        <f t="shared" si="4"/>
        <v>12</v>
      </c>
    </row>
    <row r="26">
      <c r="A26" s="20" t="s">
        <v>47</v>
      </c>
      <c r="B26" s="27">
        <v>3.0</v>
      </c>
      <c r="C26" s="23">
        <v>0.0</v>
      </c>
      <c r="D26" s="23">
        <v>3.0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5">
        <f t="shared" si="1"/>
        <v>3</v>
      </c>
      <c r="K26" s="23">
        <v>2.0</v>
      </c>
      <c r="L26" s="23">
        <v>1.0</v>
      </c>
      <c r="M26" s="25">
        <f t="shared" si="2"/>
        <v>3</v>
      </c>
      <c r="N26" s="23">
        <v>0.0</v>
      </c>
      <c r="O26" s="23">
        <v>2.0</v>
      </c>
      <c r="P26" s="23">
        <v>1.0</v>
      </c>
      <c r="Q26" s="23">
        <v>0.0</v>
      </c>
      <c r="R26" s="23">
        <v>0.0</v>
      </c>
      <c r="S26" s="26">
        <f t="shared" si="3"/>
        <v>3</v>
      </c>
      <c r="T26" s="23">
        <v>2.0</v>
      </c>
      <c r="U26" s="23">
        <v>0.0</v>
      </c>
      <c r="V26" s="23">
        <v>1.0</v>
      </c>
      <c r="W26" s="23">
        <v>0.0</v>
      </c>
      <c r="X26" s="26">
        <f t="shared" si="4"/>
        <v>3</v>
      </c>
    </row>
    <row r="27">
      <c r="A27" s="20" t="s">
        <v>48</v>
      </c>
      <c r="B27" s="21">
        <v>1.0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1.0</v>
      </c>
      <c r="I27" s="23">
        <v>0.0</v>
      </c>
      <c r="J27" s="25">
        <f t="shared" si="1"/>
        <v>1</v>
      </c>
      <c r="K27" s="23">
        <v>1.0</v>
      </c>
      <c r="L27" s="23">
        <v>0.0</v>
      </c>
      <c r="M27" s="25">
        <f t="shared" si="2"/>
        <v>1</v>
      </c>
      <c r="N27" s="23">
        <v>0.0</v>
      </c>
      <c r="O27" s="23">
        <v>0.0</v>
      </c>
      <c r="P27" s="24">
        <v>0.0</v>
      </c>
      <c r="Q27" s="23">
        <v>1.0</v>
      </c>
      <c r="R27" s="24">
        <v>0.0</v>
      </c>
      <c r="S27" s="26">
        <f t="shared" si="3"/>
        <v>1</v>
      </c>
      <c r="T27" s="23">
        <v>1.0</v>
      </c>
      <c r="U27" s="23">
        <v>0.0</v>
      </c>
      <c r="V27" s="23">
        <v>0.0</v>
      </c>
      <c r="W27" s="23">
        <v>0.0</v>
      </c>
      <c r="X27" s="26">
        <f t="shared" si="4"/>
        <v>1</v>
      </c>
    </row>
    <row r="28">
      <c r="A28" s="20" t="s">
        <v>49</v>
      </c>
      <c r="B28" s="21">
        <v>6.0</v>
      </c>
      <c r="C28" s="23">
        <v>0.0</v>
      </c>
      <c r="D28" s="23">
        <v>6.0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5">
        <f t="shared" si="1"/>
        <v>6</v>
      </c>
      <c r="K28" s="23">
        <v>6.0</v>
      </c>
      <c r="L28" s="23">
        <v>0.0</v>
      </c>
      <c r="M28" s="25">
        <f t="shared" si="2"/>
        <v>6</v>
      </c>
      <c r="N28" s="23">
        <v>4.0</v>
      </c>
      <c r="O28" s="23">
        <v>0.0</v>
      </c>
      <c r="P28" s="24">
        <v>1.0</v>
      </c>
      <c r="Q28" s="23">
        <v>0.0</v>
      </c>
      <c r="R28" s="24">
        <v>1.0</v>
      </c>
      <c r="S28" s="26">
        <f t="shared" si="3"/>
        <v>6</v>
      </c>
      <c r="T28" s="23">
        <v>2.0</v>
      </c>
      <c r="U28" s="23">
        <v>0.0</v>
      </c>
      <c r="V28" s="23">
        <v>3.0</v>
      </c>
      <c r="W28" s="23">
        <v>1.0</v>
      </c>
      <c r="X28" s="26">
        <f t="shared" si="4"/>
        <v>6</v>
      </c>
    </row>
    <row r="29">
      <c r="A29" s="20" t="s">
        <v>50</v>
      </c>
      <c r="B29" s="21">
        <v>5.0</v>
      </c>
      <c r="C29" s="22">
        <v>1.0</v>
      </c>
      <c r="D29" s="23">
        <v>3.0</v>
      </c>
      <c r="E29" s="23">
        <v>0.0</v>
      </c>
      <c r="F29" s="23">
        <v>0.0</v>
      </c>
      <c r="G29" s="23">
        <v>0.0</v>
      </c>
      <c r="H29" s="23">
        <v>1.0</v>
      </c>
      <c r="I29" s="23">
        <v>0.0</v>
      </c>
      <c r="J29" s="25">
        <f t="shared" si="1"/>
        <v>5</v>
      </c>
      <c r="K29" s="23">
        <v>4.0</v>
      </c>
      <c r="L29" s="23">
        <v>1.0</v>
      </c>
      <c r="M29" s="25">
        <f t="shared" si="2"/>
        <v>5</v>
      </c>
      <c r="N29" s="23">
        <v>0.0</v>
      </c>
      <c r="O29" s="23">
        <v>5.0</v>
      </c>
      <c r="P29" s="24">
        <v>0.0</v>
      </c>
      <c r="Q29" s="23">
        <v>0.0</v>
      </c>
      <c r="R29" s="24">
        <v>0.0</v>
      </c>
      <c r="S29" s="26">
        <f t="shared" si="3"/>
        <v>5</v>
      </c>
      <c r="T29" s="23">
        <v>2.0</v>
      </c>
      <c r="U29" s="23">
        <v>0.0</v>
      </c>
      <c r="V29" s="23">
        <v>2.0</v>
      </c>
      <c r="W29" s="23">
        <v>1.0</v>
      </c>
      <c r="X29" s="26">
        <f t="shared" si="4"/>
        <v>5</v>
      </c>
    </row>
    <row r="30">
      <c r="A30" s="20" t="s">
        <v>51</v>
      </c>
      <c r="B30" s="27">
        <v>2.0</v>
      </c>
      <c r="C30" s="23">
        <v>0.0</v>
      </c>
      <c r="D30" s="23">
        <v>2.0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5">
        <f t="shared" si="1"/>
        <v>2</v>
      </c>
      <c r="K30" s="23">
        <v>2.0</v>
      </c>
      <c r="L30" s="23">
        <v>0.0</v>
      </c>
      <c r="M30" s="25">
        <f t="shared" si="2"/>
        <v>2</v>
      </c>
      <c r="N30" s="23">
        <v>0.0</v>
      </c>
      <c r="O30" s="23">
        <v>0.0</v>
      </c>
      <c r="P30" s="23">
        <v>1.0</v>
      </c>
      <c r="Q30" s="23">
        <v>1.0</v>
      </c>
      <c r="R30" s="23">
        <v>0.0</v>
      </c>
      <c r="S30" s="26">
        <f t="shared" si="3"/>
        <v>2</v>
      </c>
      <c r="T30" s="23">
        <v>1.0</v>
      </c>
      <c r="U30" s="23">
        <v>0.0</v>
      </c>
      <c r="V30" s="23">
        <v>0.0</v>
      </c>
      <c r="W30" s="23">
        <v>1.0</v>
      </c>
      <c r="X30" s="26">
        <f t="shared" si="4"/>
        <v>2</v>
      </c>
    </row>
    <row r="31">
      <c r="A31" s="20" t="s">
        <v>52</v>
      </c>
      <c r="B31" s="27">
        <v>16.0</v>
      </c>
      <c r="C31" s="23">
        <v>1.0</v>
      </c>
      <c r="D31" s="23">
        <v>13.0</v>
      </c>
      <c r="E31" s="23">
        <v>0.0</v>
      </c>
      <c r="F31" s="23">
        <v>0.0</v>
      </c>
      <c r="G31" s="23">
        <v>0.0</v>
      </c>
      <c r="H31" s="23">
        <v>2.0</v>
      </c>
      <c r="I31" s="23">
        <v>0.0</v>
      </c>
      <c r="J31" s="25">
        <f t="shared" si="1"/>
        <v>16</v>
      </c>
      <c r="K31" s="23">
        <v>15.0</v>
      </c>
      <c r="L31" s="23">
        <v>1.0</v>
      </c>
      <c r="M31" s="25">
        <f t="shared" si="2"/>
        <v>16</v>
      </c>
      <c r="N31" s="23">
        <v>0.0</v>
      </c>
      <c r="O31" s="23">
        <v>2.0</v>
      </c>
      <c r="P31" s="23">
        <v>14.0</v>
      </c>
      <c r="Q31" s="23">
        <v>0.0</v>
      </c>
      <c r="R31" s="23">
        <v>0.0</v>
      </c>
      <c r="S31" s="26">
        <f t="shared" si="3"/>
        <v>16</v>
      </c>
      <c r="T31" s="23">
        <v>8.0</v>
      </c>
      <c r="U31" s="23">
        <v>1.0</v>
      </c>
      <c r="V31" s="23">
        <v>5.0</v>
      </c>
      <c r="W31" s="23">
        <v>2.0</v>
      </c>
      <c r="X31" s="26">
        <f t="shared" si="4"/>
        <v>16</v>
      </c>
    </row>
    <row r="32">
      <c r="A32" s="20" t="s">
        <v>53</v>
      </c>
      <c r="B32" s="21">
        <v>9.0</v>
      </c>
      <c r="C32" s="23">
        <v>1.0</v>
      </c>
      <c r="D32" s="23">
        <v>6.0</v>
      </c>
      <c r="E32" s="23">
        <v>0.0</v>
      </c>
      <c r="F32" s="23">
        <v>0.0</v>
      </c>
      <c r="G32" s="23">
        <v>0.0</v>
      </c>
      <c r="H32" s="23">
        <v>2.0</v>
      </c>
      <c r="I32" s="23">
        <v>0.0</v>
      </c>
      <c r="J32" s="25">
        <f t="shared" si="1"/>
        <v>9</v>
      </c>
      <c r="K32" s="23">
        <v>9.0</v>
      </c>
      <c r="L32" s="23">
        <v>0.0</v>
      </c>
      <c r="M32" s="25">
        <f t="shared" si="2"/>
        <v>9</v>
      </c>
      <c r="N32" s="23">
        <v>0.0</v>
      </c>
      <c r="O32" s="22">
        <v>2.0</v>
      </c>
      <c r="P32" s="24">
        <v>6.0</v>
      </c>
      <c r="Q32" s="22">
        <v>1.0</v>
      </c>
      <c r="R32" s="23">
        <v>0.0</v>
      </c>
      <c r="S32" s="26">
        <f t="shared" si="3"/>
        <v>9</v>
      </c>
      <c r="T32" s="23">
        <v>3.0</v>
      </c>
      <c r="U32" s="23">
        <v>0.0</v>
      </c>
      <c r="V32" s="23">
        <v>4.0</v>
      </c>
      <c r="W32" s="23">
        <v>2.0</v>
      </c>
      <c r="X32" s="26">
        <f t="shared" si="4"/>
        <v>9</v>
      </c>
    </row>
    <row r="33">
      <c r="A33" s="20" t="s">
        <v>54</v>
      </c>
      <c r="B33" s="21">
        <v>4.0</v>
      </c>
      <c r="C33" s="23">
        <v>0.0</v>
      </c>
      <c r="D33" s="23">
        <v>3.0</v>
      </c>
      <c r="E33" s="23">
        <v>0.0</v>
      </c>
      <c r="F33" s="23">
        <v>0.0</v>
      </c>
      <c r="G33" s="23">
        <v>0.0</v>
      </c>
      <c r="H33" s="23">
        <v>1.0</v>
      </c>
      <c r="I33" s="23">
        <v>0.0</v>
      </c>
      <c r="J33" s="25">
        <f t="shared" si="1"/>
        <v>4</v>
      </c>
      <c r="K33" s="23">
        <v>4.0</v>
      </c>
      <c r="L33" s="23">
        <v>0.0</v>
      </c>
      <c r="M33" s="25">
        <f t="shared" si="2"/>
        <v>4</v>
      </c>
      <c r="N33" s="23">
        <v>0.0</v>
      </c>
      <c r="O33" s="23">
        <v>2.0</v>
      </c>
      <c r="P33" s="24">
        <v>2.0</v>
      </c>
      <c r="Q33" s="23">
        <v>0.0</v>
      </c>
      <c r="R33" s="23">
        <v>0.0</v>
      </c>
      <c r="S33" s="26">
        <f t="shared" si="3"/>
        <v>4</v>
      </c>
      <c r="T33" s="23">
        <v>1.0</v>
      </c>
      <c r="U33" s="23">
        <v>0.0</v>
      </c>
      <c r="V33" s="23">
        <v>2.0</v>
      </c>
      <c r="W33" s="23">
        <v>1.0</v>
      </c>
      <c r="X33" s="26">
        <f t="shared" si="4"/>
        <v>4</v>
      </c>
    </row>
    <row r="34">
      <c r="A34" s="20" t="s">
        <v>55</v>
      </c>
      <c r="B34" s="27">
        <v>4.0</v>
      </c>
      <c r="C34" s="23">
        <v>0.0</v>
      </c>
      <c r="D34" s="23">
        <v>3.0</v>
      </c>
      <c r="E34" s="23">
        <v>0.0</v>
      </c>
      <c r="F34" s="23">
        <v>0.0</v>
      </c>
      <c r="G34" s="23">
        <v>1.0</v>
      </c>
      <c r="H34" s="23">
        <v>0.0</v>
      </c>
      <c r="I34" s="23">
        <v>0.0</v>
      </c>
      <c r="J34" s="25">
        <f t="shared" si="1"/>
        <v>4</v>
      </c>
      <c r="K34" s="23">
        <v>4.0</v>
      </c>
      <c r="L34" s="23">
        <v>0.0</v>
      </c>
      <c r="M34" s="25">
        <f t="shared" si="2"/>
        <v>4</v>
      </c>
      <c r="N34" s="23">
        <v>1.0</v>
      </c>
      <c r="O34" s="23">
        <v>2.0</v>
      </c>
      <c r="P34" s="23">
        <v>1.0</v>
      </c>
      <c r="Q34" s="23">
        <v>0.0</v>
      </c>
      <c r="R34" s="23">
        <v>0.0</v>
      </c>
      <c r="S34" s="26">
        <f t="shared" si="3"/>
        <v>4</v>
      </c>
      <c r="T34" s="23">
        <v>2.0</v>
      </c>
      <c r="U34" s="23">
        <v>0.0</v>
      </c>
      <c r="V34" s="23">
        <v>1.0</v>
      </c>
      <c r="W34" s="23">
        <v>1.0</v>
      </c>
      <c r="X34" s="26">
        <f t="shared" si="4"/>
        <v>4</v>
      </c>
    </row>
    <row r="35">
      <c r="A35" s="20" t="s">
        <v>56</v>
      </c>
      <c r="B35" s="27">
        <v>1.0</v>
      </c>
      <c r="C35" s="23">
        <v>0.0</v>
      </c>
      <c r="D35" s="23">
        <v>1.0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5">
        <f t="shared" si="1"/>
        <v>1</v>
      </c>
      <c r="K35" s="23">
        <v>1.0</v>
      </c>
      <c r="L35" s="23">
        <v>0.0</v>
      </c>
      <c r="M35" s="25">
        <f t="shared" si="2"/>
        <v>1</v>
      </c>
      <c r="N35" s="23">
        <v>0.0</v>
      </c>
      <c r="O35" s="23">
        <v>1.0</v>
      </c>
      <c r="P35" s="23">
        <v>0.0</v>
      </c>
      <c r="Q35" s="23">
        <v>0.0</v>
      </c>
      <c r="R35" s="23">
        <v>0.0</v>
      </c>
      <c r="S35" s="26">
        <f t="shared" si="3"/>
        <v>1</v>
      </c>
      <c r="T35" s="23">
        <v>1.0</v>
      </c>
      <c r="U35" s="23">
        <v>0.0</v>
      </c>
      <c r="V35" s="23">
        <v>0.0</v>
      </c>
      <c r="W35" s="23">
        <v>0.0</v>
      </c>
      <c r="X35" s="26">
        <f t="shared" si="4"/>
        <v>1</v>
      </c>
    </row>
    <row r="36">
      <c r="A36" s="20" t="s">
        <v>57</v>
      </c>
      <c r="B36" s="21">
        <v>9.0</v>
      </c>
      <c r="C36" s="23">
        <v>0.0</v>
      </c>
      <c r="D36" s="23">
        <v>8.0</v>
      </c>
      <c r="E36" s="23">
        <v>0.0</v>
      </c>
      <c r="F36" s="23">
        <v>0.0</v>
      </c>
      <c r="G36" s="23">
        <v>0.0</v>
      </c>
      <c r="H36" s="22">
        <v>1.0</v>
      </c>
      <c r="I36" s="23">
        <v>0.0</v>
      </c>
      <c r="J36" s="25">
        <f t="shared" si="1"/>
        <v>9</v>
      </c>
      <c r="K36" s="23">
        <v>8.0</v>
      </c>
      <c r="L36" s="23">
        <v>1.0</v>
      </c>
      <c r="M36" s="25">
        <f t="shared" si="2"/>
        <v>9</v>
      </c>
      <c r="N36" s="23">
        <v>3.0</v>
      </c>
      <c r="O36" s="23">
        <v>3.0</v>
      </c>
      <c r="P36" s="24">
        <v>3.0</v>
      </c>
      <c r="Q36" s="23">
        <v>0.0</v>
      </c>
      <c r="R36" s="23">
        <v>0.0</v>
      </c>
      <c r="S36" s="26">
        <f t="shared" si="3"/>
        <v>9</v>
      </c>
      <c r="T36" s="23">
        <v>7.0</v>
      </c>
      <c r="U36" s="23">
        <v>0.0</v>
      </c>
      <c r="V36" s="23">
        <v>1.0</v>
      </c>
      <c r="W36" s="23">
        <v>1.0</v>
      </c>
      <c r="X36" s="26">
        <f t="shared" si="4"/>
        <v>9</v>
      </c>
    </row>
    <row r="37">
      <c r="A37" s="20" t="s">
        <v>58</v>
      </c>
      <c r="B37" s="21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9">
        <v>0.0</v>
      </c>
      <c r="D38" s="29">
        <v>0.0</v>
      </c>
      <c r="E38" s="29">
        <v>0.0</v>
      </c>
      <c r="F38" s="29">
        <v>0.0</v>
      </c>
      <c r="G38" s="29">
        <v>0.0</v>
      </c>
      <c r="H38" s="29">
        <v>0.0</v>
      </c>
      <c r="I38" s="29">
        <v>0.0</v>
      </c>
      <c r="J38" s="25">
        <f t="shared" si="1"/>
        <v>0</v>
      </c>
      <c r="K38" s="29">
        <v>0.0</v>
      </c>
      <c r="L38" s="29">
        <v>0.0</v>
      </c>
      <c r="M38" s="25">
        <f t="shared" si="2"/>
        <v>0</v>
      </c>
      <c r="N38" s="29">
        <v>0.0</v>
      </c>
      <c r="O38" s="29">
        <v>0.0</v>
      </c>
      <c r="P38" s="29">
        <v>0.0</v>
      </c>
      <c r="Q38" s="29">
        <v>0.0</v>
      </c>
      <c r="R38" s="29">
        <v>0.0</v>
      </c>
      <c r="S38" s="26">
        <f t="shared" si="3"/>
        <v>0</v>
      </c>
      <c r="T38" s="29">
        <v>0.0</v>
      </c>
      <c r="U38" s="29">
        <v>0.0</v>
      </c>
      <c r="V38" s="29">
        <v>0.0</v>
      </c>
      <c r="W38" s="29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/>
      <c r="C39" s="29"/>
      <c r="D39" s="29"/>
      <c r="E39" s="29"/>
      <c r="F39" s="29"/>
      <c r="G39" s="29"/>
      <c r="H39" s="29"/>
      <c r="I39" s="29"/>
      <c r="J39" s="25"/>
      <c r="K39" s="29"/>
      <c r="L39" s="29"/>
      <c r="M39" s="25"/>
      <c r="N39" s="29">
        <v>0.0</v>
      </c>
      <c r="O39" s="29">
        <v>0.0</v>
      </c>
      <c r="P39" s="29">
        <v>0.0</v>
      </c>
      <c r="Q39" s="29">
        <v>0.0</v>
      </c>
      <c r="R39" s="29">
        <v>0.0</v>
      </c>
      <c r="S39" s="29">
        <v>0.0</v>
      </c>
      <c r="T39" s="29"/>
      <c r="U39" s="29"/>
      <c r="V39" s="29"/>
      <c r="W39" s="29"/>
      <c r="X39" s="26"/>
      <c r="Y39" s="30"/>
      <c r="Z39" s="30"/>
    </row>
    <row r="40">
      <c r="A40" s="20" t="s">
        <v>61</v>
      </c>
      <c r="B40" s="28">
        <v>0.0</v>
      </c>
      <c r="C40" s="29">
        <v>0.0</v>
      </c>
      <c r="D40" s="29">
        <v>0.0</v>
      </c>
      <c r="E40" s="29">
        <v>0.0</v>
      </c>
      <c r="F40" s="29">
        <v>0.0</v>
      </c>
      <c r="G40" s="29">
        <v>0.0</v>
      </c>
      <c r="H40" s="29">
        <v>0.0</v>
      </c>
      <c r="I40" s="29">
        <v>0.0</v>
      </c>
      <c r="J40" s="25">
        <f t="shared" ref="J40:J53" si="5">sum(C40:I40)</f>
        <v>0</v>
      </c>
      <c r="K40" s="29">
        <v>0.0</v>
      </c>
      <c r="L40" s="29">
        <v>0.0</v>
      </c>
      <c r="M40" s="25">
        <f t="shared" ref="M40:M53" si="6">sum(K40:L40)</f>
        <v>0</v>
      </c>
      <c r="N40" s="29">
        <v>0.0</v>
      </c>
      <c r="O40" s="29">
        <v>0.0</v>
      </c>
      <c r="P40" s="29">
        <v>0.0</v>
      </c>
      <c r="Q40" s="29">
        <v>0.0</v>
      </c>
      <c r="R40" s="29">
        <v>0.0</v>
      </c>
      <c r="S40" s="26">
        <f t="shared" ref="S40:S53" si="7">sum(N40:R40)</f>
        <v>0</v>
      </c>
      <c r="T40" s="29">
        <v>0.0</v>
      </c>
      <c r="U40" s="29">
        <v>0.0</v>
      </c>
      <c r="V40" s="29">
        <v>0.0</v>
      </c>
      <c r="W40" s="29">
        <v>0.0</v>
      </c>
      <c r="X40" s="26">
        <f t="shared" ref="X40:X53" si="8">sum(T40:W40)</f>
        <v>0</v>
      </c>
      <c r="Y40" s="30"/>
      <c r="Z40" s="30"/>
    </row>
    <row r="41">
      <c r="A41" s="20" t="s">
        <v>62</v>
      </c>
      <c r="B41" s="27">
        <v>28.0</v>
      </c>
      <c r="C41" s="23">
        <v>0.0</v>
      </c>
      <c r="D41" s="23">
        <v>23.0</v>
      </c>
      <c r="E41" s="23">
        <v>1.0</v>
      </c>
      <c r="F41" s="23">
        <v>0.0</v>
      </c>
      <c r="G41" s="23">
        <v>0.0</v>
      </c>
      <c r="H41" s="23">
        <v>4.0</v>
      </c>
      <c r="I41" s="23">
        <v>0.0</v>
      </c>
      <c r="J41" s="25">
        <f t="shared" si="5"/>
        <v>28</v>
      </c>
      <c r="K41" s="23">
        <v>27.0</v>
      </c>
      <c r="L41" s="23">
        <v>1.0</v>
      </c>
      <c r="M41" s="25">
        <f t="shared" si="6"/>
        <v>28</v>
      </c>
      <c r="N41" s="23">
        <v>1.0</v>
      </c>
      <c r="O41" s="23">
        <v>5.0</v>
      </c>
      <c r="P41" s="23">
        <v>22.0</v>
      </c>
      <c r="Q41" s="23">
        <v>0.0</v>
      </c>
      <c r="R41" s="23">
        <v>0.0</v>
      </c>
      <c r="S41" s="26">
        <f t="shared" si="7"/>
        <v>28</v>
      </c>
      <c r="T41" s="23">
        <v>18.0</v>
      </c>
      <c r="U41" s="23">
        <v>0.0</v>
      </c>
      <c r="V41" s="23">
        <v>7.0</v>
      </c>
      <c r="W41" s="23">
        <v>3.0</v>
      </c>
      <c r="X41" s="26">
        <f t="shared" si="8"/>
        <v>28</v>
      </c>
    </row>
    <row r="42">
      <c r="A42" s="20" t="s">
        <v>63</v>
      </c>
      <c r="B42" s="27">
        <v>13.0</v>
      </c>
      <c r="C42" s="23">
        <v>0.0</v>
      </c>
      <c r="D42" s="23">
        <v>11.0</v>
      </c>
      <c r="E42" s="23">
        <v>0.0</v>
      </c>
      <c r="F42" s="23">
        <v>0.0</v>
      </c>
      <c r="G42" s="23">
        <v>0.0</v>
      </c>
      <c r="H42" s="23">
        <v>2.0</v>
      </c>
      <c r="I42" s="23">
        <v>0.0</v>
      </c>
      <c r="J42" s="25">
        <f t="shared" si="5"/>
        <v>13</v>
      </c>
      <c r="K42" s="23">
        <v>10.0</v>
      </c>
      <c r="L42" s="23">
        <v>3.0</v>
      </c>
      <c r="M42" s="25">
        <f t="shared" si="6"/>
        <v>13</v>
      </c>
      <c r="N42" s="23">
        <v>2.0</v>
      </c>
      <c r="O42" s="23">
        <v>5.0</v>
      </c>
      <c r="P42" s="23">
        <v>5.0</v>
      </c>
      <c r="Q42" s="23">
        <v>1.0</v>
      </c>
      <c r="R42" s="23">
        <v>0.0</v>
      </c>
      <c r="S42" s="26">
        <f t="shared" si="7"/>
        <v>13</v>
      </c>
      <c r="T42" s="23">
        <v>4.0</v>
      </c>
      <c r="U42" s="23">
        <v>0.0</v>
      </c>
      <c r="V42" s="23">
        <v>7.0</v>
      </c>
      <c r="W42" s="23">
        <v>2.0</v>
      </c>
      <c r="X42" s="26">
        <f t="shared" si="8"/>
        <v>13</v>
      </c>
    </row>
    <row r="43">
      <c r="A43" s="20" t="s">
        <v>64</v>
      </c>
      <c r="B43" s="27">
        <v>4.0</v>
      </c>
      <c r="C43" s="23">
        <v>0.0</v>
      </c>
      <c r="D43" s="23">
        <v>2.0</v>
      </c>
      <c r="E43" s="23">
        <v>1.0</v>
      </c>
      <c r="F43" s="23">
        <v>0.0</v>
      </c>
      <c r="G43" s="23">
        <v>0.0</v>
      </c>
      <c r="H43" s="23">
        <v>0.0</v>
      </c>
      <c r="I43" s="23">
        <v>1.0</v>
      </c>
      <c r="J43" s="25">
        <f t="shared" si="5"/>
        <v>4</v>
      </c>
      <c r="K43" s="23">
        <v>4.0</v>
      </c>
      <c r="L43" s="23">
        <v>0.0</v>
      </c>
      <c r="M43" s="25">
        <f t="shared" si="6"/>
        <v>4</v>
      </c>
      <c r="N43" s="23">
        <v>0.0</v>
      </c>
      <c r="O43" s="23">
        <v>0.0</v>
      </c>
      <c r="P43" s="23">
        <v>2.0</v>
      </c>
      <c r="Q43" s="23">
        <v>2.0</v>
      </c>
      <c r="R43" s="23">
        <v>0.0</v>
      </c>
      <c r="S43" s="26">
        <f t="shared" si="7"/>
        <v>4</v>
      </c>
      <c r="T43" s="23">
        <v>4.0</v>
      </c>
      <c r="U43" s="23">
        <v>0.0</v>
      </c>
      <c r="V43" s="23">
        <v>0.0</v>
      </c>
      <c r="W43" s="23">
        <v>0.0</v>
      </c>
      <c r="X43" s="26">
        <f t="shared" si="8"/>
        <v>4</v>
      </c>
    </row>
    <row r="44">
      <c r="A44" s="20" t="s">
        <v>65</v>
      </c>
      <c r="B44" s="27">
        <v>2.0</v>
      </c>
      <c r="C44" s="23">
        <v>0.0</v>
      </c>
      <c r="D44" s="23">
        <v>2.0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5">
        <f t="shared" si="5"/>
        <v>2</v>
      </c>
      <c r="K44" s="23">
        <v>2.0</v>
      </c>
      <c r="L44" s="23">
        <v>0.0</v>
      </c>
      <c r="M44" s="25">
        <f t="shared" si="6"/>
        <v>2</v>
      </c>
      <c r="N44" s="23">
        <v>0.0</v>
      </c>
      <c r="O44" s="23">
        <v>1.0</v>
      </c>
      <c r="P44" s="23">
        <v>1.0</v>
      </c>
      <c r="Q44" s="23">
        <v>0.0</v>
      </c>
      <c r="R44" s="23">
        <v>0.0</v>
      </c>
      <c r="S44" s="26">
        <f t="shared" si="7"/>
        <v>2</v>
      </c>
      <c r="T44" s="23">
        <v>0.0</v>
      </c>
      <c r="U44" s="23">
        <v>0.0</v>
      </c>
      <c r="V44" s="23">
        <v>1.0</v>
      </c>
      <c r="W44" s="23">
        <v>1.0</v>
      </c>
      <c r="X44" s="26">
        <f t="shared" si="8"/>
        <v>2</v>
      </c>
    </row>
    <row r="45">
      <c r="A45" s="20" t="s">
        <v>66</v>
      </c>
      <c r="B45" s="27">
        <v>20.0</v>
      </c>
      <c r="C45" s="23">
        <v>2.0</v>
      </c>
      <c r="D45" s="23">
        <v>15.0</v>
      </c>
      <c r="E45" s="23">
        <v>0.0</v>
      </c>
      <c r="F45" s="23">
        <v>0.0</v>
      </c>
      <c r="G45" s="23">
        <v>1.0</v>
      </c>
      <c r="H45" s="23">
        <v>2.0</v>
      </c>
      <c r="I45" s="23">
        <v>0.0</v>
      </c>
      <c r="J45" s="25">
        <f t="shared" si="5"/>
        <v>20</v>
      </c>
      <c r="K45" s="23">
        <v>8.0</v>
      </c>
      <c r="L45" s="23">
        <v>12.0</v>
      </c>
      <c r="M45" s="25">
        <f t="shared" si="6"/>
        <v>20</v>
      </c>
      <c r="N45" s="23">
        <v>9.0</v>
      </c>
      <c r="O45" s="23">
        <v>9.0</v>
      </c>
      <c r="P45" s="23">
        <v>2.0</v>
      </c>
      <c r="Q45" s="23">
        <v>0.0</v>
      </c>
      <c r="R45" s="23">
        <v>0.0</v>
      </c>
      <c r="S45" s="26">
        <f t="shared" si="7"/>
        <v>20</v>
      </c>
      <c r="T45" s="23">
        <v>9.0</v>
      </c>
      <c r="U45" s="23">
        <v>0.0</v>
      </c>
      <c r="V45" s="23">
        <v>7.0</v>
      </c>
      <c r="W45" s="23">
        <v>4.0</v>
      </c>
      <c r="X45" s="26">
        <f t="shared" si="8"/>
        <v>20</v>
      </c>
    </row>
    <row r="46">
      <c r="A46" s="20" t="s">
        <v>67</v>
      </c>
      <c r="B46" s="27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5">
        <f t="shared" si="5"/>
        <v>0</v>
      </c>
      <c r="K46" s="23">
        <v>0.0</v>
      </c>
      <c r="L46" s="23">
        <v>0.0</v>
      </c>
      <c r="M46" s="25">
        <f t="shared" si="6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6">
        <f t="shared" si="7"/>
        <v>0</v>
      </c>
      <c r="T46" s="23">
        <v>0.0</v>
      </c>
      <c r="U46" s="23">
        <v>0.0</v>
      </c>
      <c r="V46" s="23">
        <v>0.0</v>
      </c>
      <c r="W46" s="23">
        <v>0.0</v>
      </c>
      <c r="X46" s="26">
        <f t="shared" si="8"/>
        <v>0</v>
      </c>
    </row>
    <row r="47">
      <c r="A47" s="20" t="s">
        <v>68</v>
      </c>
      <c r="B47" s="27">
        <v>2.0</v>
      </c>
      <c r="C47" s="23">
        <v>1.0</v>
      </c>
      <c r="D47" s="23">
        <v>1.0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5">
        <f t="shared" si="5"/>
        <v>2</v>
      </c>
      <c r="K47" s="23">
        <v>2.0</v>
      </c>
      <c r="L47" s="23">
        <v>0.0</v>
      </c>
      <c r="M47" s="25">
        <f t="shared" si="6"/>
        <v>2</v>
      </c>
      <c r="N47" s="23">
        <v>2.0</v>
      </c>
      <c r="O47" s="23">
        <v>0.0</v>
      </c>
      <c r="P47" s="23">
        <v>0.0</v>
      </c>
      <c r="Q47" s="23">
        <v>0.0</v>
      </c>
      <c r="R47" s="23">
        <v>0.0</v>
      </c>
      <c r="S47" s="26">
        <f t="shared" si="7"/>
        <v>2</v>
      </c>
      <c r="T47" s="23">
        <v>2.0</v>
      </c>
      <c r="U47" s="23">
        <v>0.0</v>
      </c>
      <c r="V47" s="23">
        <v>0.0</v>
      </c>
      <c r="W47" s="23">
        <v>0.0</v>
      </c>
      <c r="X47" s="26">
        <f t="shared" si="8"/>
        <v>2</v>
      </c>
    </row>
    <row r="48">
      <c r="A48" s="20" t="s">
        <v>69</v>
      </c>
      <c r="B48" s="21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5">
        <f t="shared" si="5"/>
        <v>0</v>
      </c>
      <c r="K48" s="23">
        <v>0.0</v>
      </c>
      <c r="L48" s="23">
        <v>0.0</v>
      </c>
      <c r="M48" s="25">
        <f t="shared" si="6"/>
        <v>0</v>
      </c>
      <c r="N48" s="23">
        <v>0.0</v>
      </c>
      <c r="O48" s="24">
        <v>0.0</v>
      </c>
      <c r="P48" s="23">
        <v>0.0</v>
      </c>
      <c r="Q48" s="23">
        <v>0.0</v>
      </c>
      <c r="R48" s="23">
        <v>0.0</v>
      </c>
      <c r="S48" s="26">
        <f t="shared" si="7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8"/>
        <v>0</v>
      </c>
    </row>
    <row r="49">
      <c r="A49" s="20" t="s">
        <v>70</v>
      </c>
      <c r="B49" s="21">
        <v>7.0</v>
      </c>
      <c r="C49" s="22">
        <v>2.0</v>
      </c>
      <c r="D49" s="23">
        <v>4.0</v>
      </c>
      <c r="E49" s="23">
        <v>0.0</v>
      </c>
      <c r="F49" s="23">
        <v>0.0</v>
      </c>
      <c r="G49" s="23">
        <v>0.0</v>
      </c>
      <c r="H49" s="23">
        <v>1.0</v>
      </c>
      <c r="I49" s="23">
        <v>0.0</v>
      </c>
      <c r="J49" s="25">
        <f t="shared" si="5"/>
        <v>7</v>
      </c>
      <c r="K49" s="23">
        <v>7.0</v>
      </c>
      <c r="L49" s="24">
        <v>0.0</v>
      </c>
      <c r="M49" s="25">
        <f t="shared" si="6"/>
        <v>7</v>
      </c>
      <c r="N49" s="23">
        <v>5.0</v>
      </c>
      <c r="O49" s="22">
        <v>0.0</v>
      </c>
      <c r="P49" s="24">
        <v>1.0</v>
      </c>
      <c r="Q49" s="23">
        <v>1.0</v>
      </c>
      <c r="R49" s="22">
        <v>0.0</v>
      </c>
      <c r="S49" s="26">
        <f t="shared" si="7"/>
        <v>7</v>
      </c>
      <c r="T49" s="23">
        <v>6.0</v>
      </c>
      <c r="U49" s="23">
        <v>0.0</v>
      </c>
      <c r="V49" s="23">
        <v>1.0</v>
      </c>
      <c r="W49" s="24">
        <v>0.0</v>
      </c>
      <c r="X49" s="26">
        <f t="shared" si="8"/>
        <v>7</v>
      </c>
    </row>
    <row r="50">
      <c r="A50" s="20" t="s">
        <v>71</v>
      </c>
      <c r="B50" s="21">
        <v>19.0</v>
      </c>
      <c r="C50" s="22">
        <v>0.0</v>
      </c>
      <c r="D50" s="23">
        <v>14.0</v>
      </c>
      <c r="E50" s="23">
        <v>1.0</v>
      </c>
      <c r="F50" s="23">
        <v>0.0</v>
      </c>
      <c r="G50" s="23">
        <v>0.0</v>
      </c>
      <c r="H50" s="23">
        <v>4.0</v>
      </c>
      <c r="I50" s="23">
        <v>0.0</v>
      </c>
      <c r="J50" s="25">
        <f t="shared" si="5"/>
        <v>19</v>
      </c>
      <c r="K50" s="23">
        <v>18.0</v>
      </c>
      <c r="L50" s="23">
        <v>1.0</v>
      </c>
      <c r="M50" s="25">
        <f t="shared" si="6"/>
        <v>19</v>
      </c>
      <c r="N50" s="23">
        <v>10.0</v>
      </c>
      <c r="O50" s="22">
        <v>8.0</v>
      </c>
      <c r="P50" s="23">
        <v>0.0</v>
      </c>
      <c r="Q50" s="23">
        <v>1.0</v>
      </c>
      <c r="R50" s="24">
        <v>0.0</v>
      </c>
      <c r="S50" s="26">
        <f t="shared" si="7"/>
        <v>19</v>
      </c>
      <c r="T50" s="23">
        <v>9.0</v>
      </c>
      <c r="U50" s="23">
        <v>1.0</v>
      </c>
      <c r="V50" s="23">
        <v>8.0</v>
      </c>
      <c r="W50" s="23">
        <v>1.0</v>
      </c>
      <c r="X50" s="26">
        <f t="shared" si="8"/>
        <v>19</v>
      </c>
    </row>
    <row r="51">
      <c r="A51" s="20" t="s">
        <v>72</v>
      </c>
      <c r="B51" s="21">
        <v>4.0</v>
      </c>
      <c r="C51" s="22">
        <v>0.0</v>
      </c>
      <c r="D51" s="22">
        <v>1.0</v>
      </c>
      <c r="E51" s="22">
        <v>0.0</v>
      </c>
      <c r="F51" s="22">
        <v>0.0</v>
      </c>
      <c r="G51" s="22">
        <v>0.0</v>
      </c>
      <c r="H51" s="22">
        <v>3.0</v>
      </c>
      <c r="I51" s="22">
        <v>0.0</v>
      </c>
      <c r="J51" s="25">
        <f t="shared" si="5"/>
        <v>4</v>
      </c>
      <c r="K51" s="22">
        <v>4.0</v>
      </c>
      <c r="L51" s="22">
        <v>0.0</v>
      </c>
      <c r="M51" s="25">
        <f t="shared" si="6"/>
        <v>4</v>
      </c>
      <c r="N51" s="22">
        <v>1.0</v>
      </c>
      <c r="O51" s="22">
        <v>0.0</v>
      </c>
      <c r="P51" s="22">
        <v>3.0</v>
      </c>
      <c r="Q51" s="22">
        <v>0.0</v>
      </c>
      <c r="R51" s="22">
        <v>0.0</v>
      </c>
      <c r="S51" s="26">
        <f t="shared" si="7"/>
        <v>4</v>
      </c>
      <c r="T51" s="22">
        <v>3.0</v>
      </c>
      <c r="U51" s="22">
        <v>0.0</v>
      </c>
      <c r="V51" s="22">
        <v>0.0</v>
      </c>
      <c r="W51" s="22">
        <v>1.0</v>
      </c>
      <c r="X51" s="26">
        <f t="shared" si="8"/>
        <v>4</v>
      </c>
    </row>
    <row r="52">
      <c r="A52" s="20" t="s">
        <v>73</v>
      </c>
      <c r="B52" s="31">
        <v>0.0</v>
      </c>
      <c r="C52" s="31">
        <v>0.0</v>
      </c>
      <c r="D52" s="31">
        <v>0.0</v>
      </c>
      <c r="E52" s="31">
        <v>0.0</v>
      </c>
      <c r="F52" s="31">
        <v>0.0</v>
      </c>
      <c r="G52" s="31">
        <v>0.0</v>
      </c>
      <c r="H52" s="31">
        <v>0.0</v>
      </c>
      <c r="I52" s="31">
        <v>0.0</v>
      </c>
      <c r="J52" s="25">
        <f t="shared" si="5"/>
        <v>0</v>
      </c>
      <c r="K52" s="32">
        <v>0.0</v>
      </c>
      <c r="L52" s="32">
        <v>0.0</v>
      </c>
      <c r="M52" s="25">
        <f t="shared" si="6"/>
        <v>0</v>
      </c>
      <c r="N52" s="32">
        <v>0.0</v>
      </c>
      <c r="O52" s="32">
        <v>0.0</v>
      </c>
      <c r="P52" s="32">
        <v>0.0</v>
      </c>
      <c r="Q52" s="32">
        <v>0.0</v>
      </c>
      <c r="R52" s="32">
        <v>0.0</v>
      </c>
      <c r="S52" s="26">
        <f t="shared" si="7"/>
        <v>0</v>
      </c>
      <c r="T52" s="31">
        <v>0.0</v>
      </c>
      <c r="U52" s="31">
        <v>0.0</v>
      </c>
      <c r="V52" s="31">
        <v>0.0</v>
      </c>
      <c r="W52" s="31">
        <v>0.0</v>
      </c>
      <c r="X52" s="26">
        <f t="shared" si="8"/>
        <v>0</v>
      </c>
    </row>
    <row r="53">
      <c r="A53" s="20" t="s">
        <v>74</v>
      </c>
      <c r="B53" s="31">
        <v>8.0</v>
      </c>
      <c r="C53" s="31">
        <v>0.0</v>
      </c>
      <c r="D53" s="31">
        <v>8.0</v>
      </c>
      <c r="E53" s="31">
        <v>0.0</v>
      </c>
      <c r="F53" s="31">
        <v>0.0</v>
      </c>
      <c r="G53" s="31">
        <v>0.0</v>
      </c>
      <c r="H53" s="31">
        <v>0.0</v>
      </c>
      <c r="I53" s="31">
        <v>0.0</v>
      </c>
      <c r="J53" s="25">
        <f t="shared" si="5"/>
        <v>8</v>
      </c>
      <c r="K53" s="31">
        <v>8.0</v>
      </c>
      <c r="L53" s="31">
        <v>0.0</v>
      </c>
      <c r="M53" s="25">
        <f t="shared" si="6"/>
        <v>8</v>
      </c>
      <c r="N53" s="31">
        <v>2.0</v>
      </c>
      <c r="O53" s="31">
        <v>5.0</v>
      </c>
      <c r="P53" s="31">
        <v>1.0</v>
      </c>
      <c r="Q53" s="31">
        <v>0.0</v>
      </c>
      <c r="R53" s="31">
        <v>0.0</v>
      </c>
      <c r="S53" s="26">
        <f t="shared" si="7"/>
        <v>8</v>
      </c>
      <c r="T53" s="31">
        <v>2.0</v>
      </c>
      <c r="U53" s="31">
        <v>0.0</v>
      </c>
      <c r="V53" s="31">
        <v>2.0</v>
      </c>
      <c r="W53" s="31">
        <v>4.0</v>
      </c>
      <c r="X53" s="26">
        <f t="shared" si="8"/>
        <v>8</v>
      </c>
    </row>
    <row r="54">
      <c r="A54" s="20" t="s">
        <v>75</v>
      </c>
      <c r="B54" s="31"/>
      <c r="C54" s="31"/>
      <c r="D54" s="31"/>
      <c r="E54" s="31"/>
      <c r="F54" s="31"/>
      <c r="G54" s="31"/>
      <c r="H54" s="31"/>
      <c r="I54" s="31"/>
      <c r="J54" s="25"/>
      <c r="K54" s="31"/>
      <c r="L54" s="31"/>
      <c r="M54" s="25"/>
      <c r="N54" s="31"/>
      <c r="O54" s="31"/>
      <c r="P54" s="31"/>
      <c r="Q54" s="31"/>
      <c r="R54" s="31"/>
      <c r="S54" s="26"/>
      <c r="T54" s="31"/>
      <c r="U54" s="31"/>
      <c r="V54" s="31"/>
      <c r="W54" s="31"/>
      <c r="X54" s="26"/>
    </row>
    <row r="55">
      <c r="A55" s="20" t="s">
        <v>76</v>
      </c>
      <c r="B55" s="31">
        <v>0.0</v>
      </c>
      <c r="C55" s="31">
        <v>0.0</v>
      </c>
      <c r="D55" s="31">
        <v>0.0</v>
      </c>
      <c r="E55" s="31">
        <v>0.0</v>
      </c>
      <c r="F55" s="31">
        <v>0.0</v>
      </c>
      <c r="G55" s="31">
        <v>0.0</v>
      </c>
      <c r="H55" s="31">
        <v>0.0</v>
      </c>
      <c r="I55" s="31">
        <v>0.0</v>
      </c>
      <c r="J55" s="25">
        <f t="shared" ref="J55:J58" si="9">sum(C55:I55)</f>
        <v>0</v>
      </c>
      <c r="K55" s="31">
        <v>0.0</v>
      </c>
      <c r="L55" s="31">
        <v>0.0</v>
      </c>
      <c r="M55" s="25">
        <f t="shared" ref="M55:M58" si="10">sum(K55:L55)</f>
        <v>0</v>
      </c>
      <c r="N55" s="31">
        <v>0.0</v>
      </c>
      <c r="O55" s="31">
        <v>0.0</v>
      </c>
      <c r="P55" s="31">
        <v>0.0</v>
      </c>
      <c r="Q55" s="31">
        <v>0.0</v>
      </c>
      <c r="R55" s="31">
        <v>0.0</v>
      </c>
      <c r="S55" s="26">
        <f t="shared" ref="S55:S58" si="11">sum(N55:R55)</f>
        <v>0</v>
      </c>
      <c r="T55" s="31">
        <v>0.0</v>
      </c>
      <c r="U55" s="31">
        <v>0.0</v>
      </c>
      <c r="V55" s="31">
        <v>0.0</v>
      </c>
      <c r="W55" s="31">
        <v>0.0</v>
      </c>
      <c r="X55" s="26">
        <f t="shared" ref="X55:X58" si="12">sum(T55:W55)</f>
        <v>0</v>
      </c>
    </row>
    <row r="56">
      <c r="A56" s="20" t="s">
        <v>77</v>
      </c>
      <c r="B56" s="31">
        <v>3.0</v>
      </c>
      <c r="C56" s="31">
        <v>0.0</v>
      </c>
      <c r="D56" s="31">
        <v>3.0</v>
      </c>
      <c r="E56" s="31">
        <v>0.0</v>
      </c>
      <c r="F56" s="31">
        <v>0.0</v>
      </c>
      <c r="G56" s="31">
        <v>0.0</v>
      </c>
      <c r="H56" s="31">
        <v>0.0</v>
      </c>
      <c r="I56" s="31">
        <v>0.0</v>
      </c>
      <c r="J56" s="25">
        <f t="shared" si="9"/>
        <v>3</v>
      </c>
      <c r="K56" s="31">
        <v>3.0</v>
      </c>
      <c r="L56" s="31">
        <v>0.0</v>
      </c>
      <c r="M56" s="25">
        <f t="shared" si="10"/>
        <v>3</v>
      </c>
      <c r="N56" s="31">
        <v>0.0</v>
      </c>
      <c r="O56" s="31">
        <v>1.0</v>
      </c>
      <c r="P56" s="31">
        <v>2.0</v>
      </c>
      <c r="Q56" s="31">
        <v>0.0</v>
      </c>
      <c r="R56" s="31">
        <v>0.0</v>
      </c>
      <c r="S56" s="26">
        <f t="shared" si="11"/>
        <v>3</v>
      </c>
      <c r="T56" s="31">
        <v>0.0</v>
      </c>
      <c r="U56" s="31">
        <v>0.0</v>
      </c>
      <c r="V56" s="31">
        <v>2.0</v>
      </c>
      <c r="W56" s="31">
        <v>1.0</v>
      </c>
      <c r="X56" s="26">
        <f t="shared" si="12"/>
        <v>3</v>
      </c>
    </row>
    <row r="57">
      <c r="A57" s="20" t="s">
        <v>78</v>
      </c>
      <c r="B57" s="34">
        <v>0.0</v>
      </c>
      <c r="C57" s="31">
        <v>0.0</v>
      </c>
      <c r="D57" s="31">
        <v>0.0</v>
      </c>
      <c r="E57" s="31">
        <v>0.0</v>
      </c>
      <c r="F57" s="31">
        <v>0.0</v>
      </c>
      <c r="G57" s="31">
        <v>0.0</v>
      </c>
      <c r="H57" s="31">
        <v>0.0</v>
      </c>
      <c r="I57" s="31">
        <v>0.0</v>
      </c>
      <c r="J57" s="25">
        <f t="shared" si="9"/>
        <v>0</v>
      </c>
      <c r="K57" s="31">
        <v>0.0</v>
      </c>
      <c r="L57" s="31">
        <v>0.0</v>
      </c>
      <c r="M57" s="25">
        <f t="shared" si="10"/>
        <v>0</v>
      </c>
      <c r="N57" s="31">
        <v>0.0</v>
      </c>
      <c r="O57" s="31">
        <v>0.0</v>
      </c>
      <c r="P57" s="31">
        <v>0.0</v>
      </c>
      <c r="Q57" s="31">
        <v>0.0</v>
      </c>
      <c r="R57" s="31">
        <v>0.0</v>
      </c>
      <c r="S57" s="26">
        <f t="shared" si="11"/>
        <v>0</v>
      </c>
      <c r="T57" s="31">
        <v>0.0</v>
      </c>
      <c r="U57" s="31">
        <v>0.0</v>
      </c>
      <c r="V57" s="31">
        <v>0.0</v>
      </c>
      <c r="W57" s="31">
        <v>0.0</v>
      </c>
      <c r="X57" s="26">
        <f t="shared" si="12"/>
        <v>0</v>
      </c>
    </row>
    <row r="58">
      <c r="A58" s="20" t="s">
        <v>79</v>
      </c>
      <c r="B58" s="31">
        <v>0.0</v>
      </c>
      <c r="C58" s="31">
        <v>0.0</v>
      </c>
      <c r="D58" s="31">
        <v>0.0</v>
      </c>
      <c r="E58" s="31">
        <v>0.0</v>
      </c>
      <c r="F58" s="31">
        <v>0.0</v>
      </c>
      <c r="G58" s="31">
        <v>0.0</v>
      </c>
      <c r="H58" s="31">
        <v>0.0</v>
      </c>
      <c r="I58" s="31">
        <v>0.0</v>
      </c>
      <c r="J58" s="25">
        <f t="shared" si="9"/>
        <v>0</v>
      </c>
      <c r="K58" s="31">
        <v>0.0</v>
      </c>
      <c r="L58" s="31">
        <v>0.0</v>
      </c>
      <c r="M58" s="25">
        <f t="shared" si="10"/>
        <v>0</v>
      </c>
      <c r="N58" s="31">
        <v>0.0</v>
      </c>
      <c r="O58" s="31">
        <v>0.0</v>
      </c>
      <c r="P58" s="31">
        <v>0.0</v>
      </c>
      <c r="Q58" s="31">
        <v>0.0</v>
      </c>
      <c r="R58" s="31">
        <v>0.0</v>
      </c>
      <c r="S58" s="26">
        <f t="shared" si="11"/>
        <v>0</v>
      </c>
      <c r="T58" s="31">
        <v>0.0</v>
      </c>
      <c r="U58" s="31">
        <v>0.0</v>
      </c>
      <c r="V58" s="31">
        <v>0.0</v>
      </c>
      <c r="W58" s="31">
        <v>0.0</v>
      </c>
      <c r="X58" s="26">
        <f t="shared" si="12"/>
        <v>0</v>
      </c>
    </row>
    <row r="59">
      <c r="A59" s="36" t="s">
        <v>80</v>
      </c>
      <c r="B59" s="31"/>
      <c r="C59" s="31"/>
      <c r="D59" s="31"/>
      <c r="E59" s="31"/>
      <c r="F59" s="31"/>
      <c r="G59" s="31"/>
      <c r="H59" s="31"/>
      <c r="I59" s="31"/>
      <c r="J59" s="25"/>
      <c r="K59" s="31"/>
      <c r="L59" s="31"/>
      <c r="M59" s="25"/>
      <c r="N59" s="31"/>
      <c r="O59" s="31"/>
      <c r="P59" s="31"/>
      <c r="Q59" s="31"/>
      <c r="R59" s="31"/>
      <c r="S59" s="26"/>
      <c r="T59" s="31"/>
      <c r="U59" s="31"/>
      <c r="V59" s="31"/>
      <c r="W59" s="31"/>
      <c r="X59" s="26"/>
    </row>
    <row r="60">
      <c r="A60" s="20" t="s">
        <v>81</v>
      </c>
      <c r="B60" s="31">
        <v>0.0</v>
      </c>
      <c r="C60" s="31">
        <v>0.0</v>
      </c>
      <c r="D60" s="31">
        <v>0.0</v>
      </c>
      <c r="E60" s="31">
        <v>0.0</v>
      </c>
      <c r="F60" s="31">
        <v>0.0</v>
      </c>
      <c r="G60" s="31">
        <v>0.0</v>
      </c>
      <c r="H60" s="31">
        <v>0.0</v>
      </c>
      <c r="I60" s="31">
        <v>0.0</v>
      </c>
      <c r="J60" s="25">
        <f t="shared" ref="J60:J65" si="13">sum(C60:I60)</f>
        <v>0</v>
      </c>
      <c r="K60" s="31">
        <v>0.0</v>
      </c>
      <c r="L60" s="31">
        <v>0.0</v>
      </c>
      <c r="M60" s="25">
        <f t="shared" ref="M60:M65" si="14">sum(K60:L60)</f>
        <v>0</v>
      </c>
      <c r="N60" s="31">
        <v>0.0</v>
      </c>
      <c r="O60" s="31">
        <v>0.0</v>
      </c>
      <c r="P60" s="31">
        <v>0.0</v>
      </c>
      <c r="Q60" s="31">
        <v>0.0</v>
      </c>
      <c r="R60" s="31">
        <v>0.0</v>
      </c>
      <c r="S60" s="26">
        <f t="shared" ref="S60:S65" si="15">sum(N60:R60)</f>
        <v>0</v>
      </c>
      <c r="T60" s="31">
        <v>0.0</v>
      </c>
      <c r="U60" s="31">
        <v>0.0</v>
      </c>
      <c r="V60" s="31">
        <v>0.0</v>
      </c>
      <c r="W60" s="31">
        <v>0.0</v>
      </c>
      <c r="X60" s="26">
        <f t="shared" ref="X60:X65" si="16">sum(T60:W60)</f>
        <v>0</v>
      </c>
    </row>
    <row r="61">
      <c r="A61" s="20" t="s">
        <v>82</v>
      </c>
      <c r="B61" s="31">
        <v>4.0</v>
      </c>
      <c r="C61" s="31">
        <v>0.0</v>
      </c>
      <c r="D61" s="31">
        <v>3.0</v>
      </c>
      <c r="E61" s="31">
        <v>0.0</v>
      </c>
      <c r="F61" s="31">
        <v>0.0</v>
      </c>
      <c r="G61" s="31">
        <v>0.0</v>
      </c>
      <c r="H61" s="31">
        <v>1.0</v>
      </c>
      <c r="I61" s="31">
        <v>0.0</v>
      </c>
      <c r="J61" s="25">
        <f t="shared" si="13"/>
        <v>4</v>
      </c>
      <c r="K61" s="31">
        <v>3.0</v>
      </c>
      <c r="L61" s="31">
        <v>1.0</v>
      </c>
      <c r="M61" s="25">
        <f t="shared" si="14"/>
        <v>4</v>
      </c>
      <c r="N61" s="31">
        <v>0.0</v>
      </c>
      <c r="O61" s="31">
        <v>4.0</v>
      </c>
      <c r="P61" s="31">
        <v>0.0</v>
      </c>
      <c r="Q61" s="31">
        <v>0.0</v>
      </c>
      <c r="R61" s="31">
        <v>0.0</v>
      </c>
      <c r="S61" s="26">
        <f t="shared" si="15"/>
        <v>4</v>
      </c>
      <c r="T61" s="31">
        <v>2.0</v>
      </c>
      <c r="U61" s="31">
        <v>0.0</v>
      </c>
      <c r="V61" s="31">
        <v>2.0</v>
      </c>
      <c r="W61" s="31">
        <v>0.0</v>
      </c>
      <c r="X61" s="26">
        <f t="shared" si="16"/>
        <v>4</v>
      </c>
    </row>
    <row r="62">
      <c r="A62" s="20" t="s">
        <v>83</v>
      </c>
      <c r="B62" s="31">
        <v>2.0</v>
      </c>
      <c r="C62" s="31">
        <v>0.0</v>
      </c>
      <c r="D62" s="31">
        <v>1.0</v>
      </c>
      <c r="E62" s="31">
        <v>1.0</v>
      </c>
      <c r="F62" s="31">
        <v>0.0</v>
      </c>
      <c r="G62" s="31">
        <v>0.0</v>
      </c>
      <c r="H62" s="31">
        <v>0.0</v>
      </c>
      <c r="I62" s="31">
        <v>0.0</v>
      </c>
      <c r="J62" s="25">
        <f t="shared" si="13"/>
        <v>2</v>
      </c>
      <c r="K62" s="31">
        <v>2.0</v>
      </c>
      <c r="L62" s="31">
        <v>0.0</v>
      </c>
      <c r="M62" s="25">
        <f t="shared" si="14"/>
        <v>2</v>
      </c>
      <c r="N62" s="31">
        <v>1.0</v>
      </c>
      <c r="O62" s="31">
        <v>0.0</v>
      </c>
      <c r="P62" s="31">
        <v>1.0</v>
      </c>
      <c r="Q62" s="31">
        <v>0.0</v>
      </c>
      <c r="R62" s="31">
        <v>0.0</v>
      </c>
      <c r="S62" s="26">
        <f t="shared" si="15"/>
        <v>2</v>
      </c>
      <c r="T62" s="31">
        <v>1.0</v>
      </c>
      <c r="U62" s="31">
        <v>0.0</v>
      </c>
      <c r="V62" s="31">
        <v>1.0</v>
      </c>
      <c r="W62" s="31">
        <v>0.0</v>
      </c>
      <c r="X62" s="26">
        <f t="shared" si="16"/>
        <v>2</v>
      </c>
    </row>
    <row r="63">
      <c r="A63" s="20" t="s">
        <v>84</v>
      </c>
      <c r="B63" s="31">
        <v>7.0</v>
      </c>
      <c r="C63" s="31">
        <v>0.0</v>
      </c>
      <c r="D63" s="31">
        <v>7.0</v>
      </c>
      <c r="E63" s="31">
        <v>0.0</v>
      </c>
      <c r="F63" s="31">
        <v>0.0</v>
      </c>
      <c r="G63" s="31">
        <v>0.0</v>
      </c>
      <c r="H63" s="31">
        <v>0.0</v>
      </c>
      <c r="I63" s="31">
        <v>0.0</v>
      </c>
      <c r="J63" s="25">
        <f t="shared" si="13"/>
        <v>7</v>
      </c>
      <c r="K63" s="31">
        <v>7.0</v>
      </c>
      <c r="L63" s="31">
        <v>0.0</v>
      </c>
      <c r="M63" s="25">
        <f t="shared" si="14"/>
        <v>7</v>
      </c>
      <c r="N63" s="31">
        <v>2.0</v>
      </c>
      <c r="O63" s="31">
        <v>3.0</v>
      </c>
      <c r="P63" s="31">
        <v>2.0</v>
      </c>
      <c r="Q63" s="31">
        <v>0.0</v>
      </c>
      <c r="R63" s="31">
        <v>0.0</v>
      </c>
      <c r="S63" s="26">
        <f t="shared" si="15"/>
        <v>7</v>
      </c>
      <c r="T63" s="31">
        <v>5.0</v>
      </c>
      <c r="U63" s="31">
        <v>0.0</v>
      </c>
      <c r="V63" s="31">
        <v>2.0</v>
      </c>
      <c r="W63" s="31">
        <v>0.0</v>
      </c>
      <c r="X63" s="26">
        <f t="shared" si="16"/>
        <v>7</v>
      </c>
    </row>
    <row r="64">
      <c r="A64" s="20" t="s">
        <v>85</v>
      </c>
      <c r="B64" s="31">
        <v>2.0</v>
      </c>
      <c r="C64" s="31">
        <v>0.0</v>
      </c>
      <c r="D64" s="31">
        <v>2.0</v>
      </c>
      <c r="E64" s="31">
        <v>0.0</v>
      </c>
      <c r="F64" s="31">
        <v>0.0</v>
      </c>
      <c r="G64" s="31">
        <v>0.0</v>
      </c>
      <c r="H64" s="31">
        <v>0.0</v>
      </c>
      <c r="I64" s="31">
        <v>0.0</v>
      </c>
      <c r="J64" s="25">
        <f t="shared" si="13"/>
        <v>2</v>
      </c>
      <c r="K64" s="31">
        <v>2.0</v>
      </c>
      <c r="L64" s="31">
        <v>0.0</v>
      </c>
      <c r="M64" s="25">
        <f t="shared" si="14"/>
        <v>2</v>
      </c>
      <c r="N64" s="31">
        <v>1.0</v>
      </c>
      <c r="O64" s="31">
        <v>1.0</v>
      </c>
      <c r="P64" s="31">
        <v>0.0</v>
      </c>
      <c r="Q64" s="31">
        <v>0.0</v>
      </c>
      <c r="R64" s="31">
        <v>0.0</v>
      </c>
      <c r="S64" s="26">
        <f t="shared" si="15"/>
        <v>2</v>
      </c>
      <c r="T64" s="31">
        <v>1.0</v>
      </c>
      <c r="U64" s="31">
        <v>0.0</v>
      </c>
      <c r="V64" s="31">
        <v>1.0</v>
      </c>
      <c r="W64" s="31">
        <v>0.0</v>
      </c>
      <c r="X64" s="26">
        <f t="shared" si="16"/>
        <v>2</v>
      </c>
    </row>
    <row r="65">
      <c r="A65" s="20" t="s">
        <v>86</v>
      </c>
      <c r="B65" s="31">
        <v>5.0</v>
      </c>
      <c r="C65" s="31">
        <v>0.0</v>
      </c>
      <c r="D65" s="31">
        <v>5.0</v>
      </c>
      <c r="E65" s="31">
        <v>0.0</v>
      </c>
      <c r="F65" s="31">
        <v>0.0</v>
      </c>
      <c r="G65" s="31">
        <v>0.0</v>
      </c>
      <c r="H65" s="31">
        <v>0.0</v>
      </c>
      <c r="I65" s="31">
        <v>0.0</v>
      </c>
      <c r="J65" s="25">
        <f t="shared" si="13"/>
        <v>5</v>
      </c>
      <c r="K65" s="31">
        <v>5.0</v>
      </c>
      <c r="L65" s="31">
        <v>0.0</v>
      </c>
      <c r="M65" s="25">
        <f t="shared" si="14"/>
        <v>5</v>
      </c>
      <c r="N65" s="31">
        <v>0.0</v>
      </c>
      <c r="O65" s="31">
        <v>5.0</v>
      </c>
      <c r="P65" s="31">
        <v>0.0</v>
      </c>
      <c r="Q65" s="31">
        <v>0.0</v>
      </c>
      <c r="R65" s="31">
        <v>0.0</v>
      </c>
      <c r="S65" s="26">
        <f t="shared" si="15"/>
        <v>5</v>
      </c>
      <c r="T65" s="31">
        <v>3.0</v>
      </c>
      <c r="U65" s="31">
        <v>0.0</v>
      </c>
      <c r="V65" s="31">
        <v>2.0</v>
      </c>
      <c r="W65" s="31">
        <v>0.0</v>
      </c>
      <c r="X65" s="26">
        <f t="shared" si="16"/>
        <v>5</v>
      </c>
    </row>
    <row r="66">
      <c r="A66" s="31" t="s">
        <v>13</v>
      </c>
      <c r="B66" s="35">
        <f t="shared" ref="B66:X66" si="17">SUM(B4:B65)</f>
        <v>465</v>
      </c>
      <c r="C66" s="35">
        <f t="shared" si="17"/>
        <v>12</v>
      </c>
      <c r="D66" s="35">
        <f t="shared" si="17"/>
        <v>355</v>
      </c>
      <c r="E66" s="35">
        <f t="shared" si="17"/>
        <v>5</v>
      </c>
      <c r="F66" s="35">
        <f t="shared" si="17"/>
        <v>0</v>
      </c>
      <c r="G66" s="35">
        <f t="shared" si="17"/>
        <v>20</v>
      </c>
      <c r="H66" s="35">
        <f t="shared" si="17"/>
        <v>70</v>
      </c>
      <c r="I66" s="35">
        <f t="shared" si="17"/>
        <v>3</v>
      </c>
      <c r="J66" s="35">
        <f t="shared" si="17"/>
        <v>465</v>
      </c>
      <c r="K66" s="35">
        <f t="shared" si="17"/>
        <v>414</v>
      </c>
      <c r="L66" s="35">
        <f t="shared" si="17"/>
        <v>51</v>
      </c>
      <c r="M66" s="25">
        <f t="shared" si="17"/>
        <v>465</v>
      </c>
      <c r="N66" s="35">
        <f t="shared" si="17"/>
        <v>158</v>
      </c>
      <c r="O66" s="35">
        <f t="shared" si="17"/>
        <v>149</v>
      </c>
      <c r="P66" s="35">
        <f t="shared" si="17"/>
        <v>124</v>
      </c>
      <c r="Q66" s="35">
        <f t="shared" si="17"/>
        <v>22</v>
      </c>
      <c r="R66" s="35">
        <f t="shared" si="17"/>
        <v>12</v>
      </c>
      <c r="S66" s="35">
        <f t="shared" si="17"/>
        <v>465</v>
      </c>
      <c r="T66" s="35">
        <f t="shared" si="17"/>
        <v>295</v>
      </c>
      <c r="U66" s="35">
        <f t="shared" si="17"/>
        <v>10</v>
      </c>
      <c r="V66" s="35">
        <f t="shared" si="17"/>
        <v>104</v>
      </c>
      <c r="W66" s="35">
        <f t="shared" si="17"/>
        <v>56</v>
      </c>
      <c r="X66" s="35">
        <f t="shared" si="17"/>
        <v>465</v>
      </c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22.0</v>
      </c>
      <c r="C4" s="22">
        <v>0.0</v>
      </c>
      <c r="D4" s="23">
        <v>21.0</v>
      </c>
      <c r="E4" s="23">
        <v>1.0</v>
      </c>
      <c r="F4" s="23">
        <v>0.0</v>
      </c>
      <c r="G4" s="24">
        <v>0.0</v>
      </c>
      <c r="H4" s="22">
        <v>0.0</v>
      </c>
      <c r="I4" s="23">
        <v>0.0</v>
      </c>
      <c r="J4" s="25">
        <f t="shared" ref="J4:J38" si="1">sum(C4:I4)</f>
        <v>22</v>
      </c>
      <c r="K4" s="23">
        <v>14.0</v>
      </c>
      <c r="L4" s="23">
        <v>8.0</v>
      </c>
      <c r="M4" s="25">
        <f t="shared" ref="M4:M38" si="2">sum(K4:L4)</f>
        <v>22</v>
      </c>
      <c r="N4" s="23">
        <v>10.0</v>
      </c>
      <c r="O4" s="22">
        <v>10.0</v>
      </c>
      <c r="P4" s="23">
        <v>1.0</v>
      </c>
      <c r="Q4" s="22">
        <v>0.0</v>
      </c>
      <c r="R4" s="22">
        <v>1.0</v>
      </c>
      <c r="S4" s="26">
        <f t="shared" ref="S4:S38" si="3">sum(N4:R4)</f>
        <v>22</v>
      </c>
      <c r="T4" s="23">
        <v>16.0</v>
      </c>
      <c r="U4" s="23">
        <v>0.0</v>
      </c>
      <c r="V4" s="23">
        <v>2.0</v>
      </c>
      <c r="W4" s="23">
        <v>4.0</v>
      </c>
      <c r="X4" s="26">
        <f t="shared" ref="X4:X38" si="4">sum(T4:W4)</f>
        <v>22</v>
      </c>
    </row>
    <row r="5">
      <c r="A5" s="20" t="s">
        <v>26</v>
      </c>
      <c r="B5" s="21">
        <v>0.0</v>
      </c>
      <c r="C5" s="22">
        <v>0.0</v>
      </c>
      <c r="D5" s="23">
        <v>0.0</v>
      </c>
      <c r="E5" s="24">
        <v>0.0</v>
      </c>
      <c r="F5" s="23">
        <v>0.0</v>
      </c>
      <c r="G5" s="23">
        <v>0.0</v>
      </c>
      <c r="H5" s="22">
        <v>0.0</v>
      </c>
      <c r="I5" s="23">
        <v>0.0</v>
      </c>
      <c r="J5" s="25">
        <f t="shared" si="1"/>
        <v>0</v>
      </c>
      <c r="K5" s="23">
        <v>0.0</v>
      </c>
      <c r="L5" s="23">
        <v>0.0</v>
      </c>
      <c r="M5" s="25">
        <f t="shared" si="2"/>
        <v>0</v>
      </c>
      <c r="N5" s="23">
        <v>0.0</v>
      </c>
      <c r="O5" s="22">
        <v>0.0</v>
      </c>
      <c r="P5" s="23">
        <v>0.0</v>
      </c>
      <c r="Q5" s="23">
        <v>0.0</v>
      </c>
      <c r="R5" s="23">
        <v>0.0</v>
      </c>
      <c r="S5" s="26">
        <f t="shared" si="3"/>
        <v>0</v>
      </c>
      <c r="T5" s="23">
        <v>0.0</v>
      </c>
      <c r="U5" s="24">
        <v>0.0</v>
      </c>
      <c r="V5" s="23">
        <v>0.0</v>
      </c>
      <c r="W5" s="23">
        <v>0.0</v>
      </c>
      <c r="X5" s="26">
        <f t="shared" si="4"/>
        <v>0</v>
      </c>
    </row>
    <row r="6">
      <c r="A6" s="20" t="s">
        <v>27</v>
      </c>
      <c r="B6" s="21">
        <v>7.0</v>
      </c>
      <c r="C6" s="22">
        <v>0.0</v>
      </c>
      <c r="D6" s="23">
        <v>7.0</v>
      </c>
      <c r="E6" s="24">
        <v>0.0</v>
      </c>
      <c r="F6" s="23">
        <v>0.0</v>
      </c>
      <c r="G6" s="23">
        <v>0.0</v>
      </c>
      <c r="H6" s="22">
        <v>0.0</v>
      </c>
      <c r="I6" s="23">
        <v>0.0</v>
      </c>
      <c r="J6" s="25">
        <f t="shared" si="1"/>
        <v>7</v>
      </c>
      <c r="K6" s="23">
        <v>6.0</v>
      </c>
      <c r="L6" s="23">
        <v>1.0</v>
      </c>
      <c r="M6" s="25">
        <f t="shared" si="2"/>
        <v>7</v>
      </c>
      <c r="N6" s="23">
        <v>0.0</v>
      </c>
      <c r="O6" s="22">
        <v>2.0</v>
      </c>
      <c r="P6" s="23">
        <v>5.0</v>
      </c>
      <c r="Q6" s="23">
        <v>0.0</v>
      </c>
      <c r="R6" s="23">
        <v>0.0</v>
      </c>
      <c r="S6" s="26">
        <f t="shared" si="3"/>
        <v>7</v>
      </c>
      <c r="T6" s="23">
        <v>2.0</v>
      </c>
      <c r="U6" s="24">
        <v>0.0</v>
      </c>
      <c r="V6" s="23">
        <v>5.0</v>
      </c>
      <c r="W6" s="23">
        <v>0.0</v>
      </c>
      <c r="X6" s="26">
        <f t="shared" si="4"/>
        <v>7</v>
      </c>
    </row>
    <row r="7">
      <c r="A7" s="20" t="s">
        <v>28</v>
      </c>
      <c r="B7" s="21">
        <v>12.0</v>
      </c>
      <c r="C7" s="23">
        <v>0.0</v>
      </c>
      <c r="D7" s="23">
        <v>12.0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5">
        <f t="shared" si="1"/>
        <v>12</v>
      </c>
      <c r="K7" s="23">
        <v>11.0</v>
      </c>
      <c r="L7" s="23">
        <v>1.0</v>
      </c>
      <c r="M7" s="25">
        <f t="shared" si="2"/>
        <v>12</v>
      </c>
      <c r="N7" s="23">
        <v>0.0</v>
      </c>
      <c r="O7" s="22">
        <v>8.0</v>
      </c>
      <c r="P7" s="23">
        <v>4.0</v>
      </c>
      <c r="Q7" s="23">
        <v>0.0</v>
      </c>
      <c r="R7" s="23">
        <v>0.0</v>
      </c>
      <c r="S7" s="26">
        <f t="shared" si="3"/>
        <v>12</v>
      </c>
      <c r="T7" s="23">
        <v>0.0</v>
      </c>
      <c r="U7" s="23">
        <v>0.0</v>
      </c>
      <c r="V7" s="23">
        <v>7.0</v>
      </c>
      <c r="W7" s="23">
        <v>5.0</v>
      </c>
      <c r="X7" s="26">
        <f t="shared" si="4"/>
        <v>12</v>
      </c>
    </row>
    <row r="8">
      <c r="A8" s="20" t="s">
        <v>29</v>
      </c>
      <c r="B8" s="21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5">
        <f t="shared" si="1"/>
        <v>0</v>
      </c>
      <c r="K8" s="23">
        <v>0.0</v>
      </c>
      <c r="L8" s="23">
        <v>0.0</v>
      </c>
      <c r="M8" s="25">
        <f t="shared" si="2"/>
        <v>0</v>
      </c>
      <c r="N8" s="23">
        <v>0.0</v>
      </c>
      <c r="O8" s="22">
        <v>0.0</v>
      </c>
      <c r="P8" s="23">
        <v>0.0</v>
      </c>
      <c r="Q8" s="23">
        <v>0.0</v>
      </c>
      <c r="R8" s="23">
        <v>0.0</v>
      </c>
      <c r="S8" s="26">
        <f t="shared" si="3"/>
        <v>0</v>
      </c>
      <c r="T8" s="23">
        <v>0.0</v>
      </c>
      <c r="U8" s="23">
        <v>0.0</v>
      </c>
      <c r="V8" s="23">
        <v>0.0</v>
      </c>
      <c r="W8" s="23">
        <v>0.0</v>
      </c>
      <c r="X8" s="26">
        <f t="shared" si="4"/>
        <v>0</v>
      </c>
    </row>
    <row r="9">
      <c r="A9" s="20" t="s">
        <v>30</v>
      </c>
      <c r="B9" s="21">
        <v>1.0</v>
      </c>
      <c r="C9" s="23">
        <v>0.0</v>
      </c>
      <c r="D9" s="23">
        <v>1.0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5">
        <f t="shared" si="1"/>
        <v>1</v>
      </c>
      <c r="K9" s="23">
        <v>1.0</v>
      </c>
      <c r="L9" s="23">
        <v>0.0</v>
      </c>
      <c r="M9" s="25">
        <f t="shared" si="2"/>
        <v>1</v>
      </c>
      <c r="N9" s="23">
        <v>0.0</v>
      </c>
      <c r="O9" s="22">
        <v>0.0</v>
      </c>
      <c r="P9" s="23">
        <v>1.0</v>
      </c>
      <c r="Q9" s="23">
        <v>0.0</v>
      </c>
      <c r="R9" s="23">
        <v>0.0</v>
      </c>
      <c r="S9" s="26">
        <f t="shared" si="3"/>
        <v>1</v>
      </c>
      <c r="T9" s="23">
        <v>0.0</v>
      </c>
      <c r="U9" s="23">
        <v>0.0</v>
      </c>
      <c r="V9" s="23">
        <v>1.0</v>
      </c>
      <c r="W9" s="23">
        <v>0.0</v>
      </c>
      <c r="X9" s="26">
        <f t="shared" si="4"/>
        <v>1</v>
      </c>
    </row>
    <row r="10">
      <c r="A10" s="20" t="s">
        <v>31</v>
      </c>
      <c r="B10" s="21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5">
        <f t="shared" si="1"/>
        <v>0</v>
      </c>
      <c r="K10" s="23">
        <v>0.0</v>
      </c>
      <c r="L10" s="23">
        <v>0.0</v>
      </c>
      <c r="M10" s="25">
        <f t="shared" si="2"/>
        <v>0</v>
      </c>
      <c r="N10" s="23">
        <v>0.0</v>
      </c>
      <c r="O10" s="22">
        <v>0.0</v>
      </c>
      <c r="P10" s="23">
        <v>0.0</v>
      </c>
      <c r="Q10" s="23">
        <v>0.0</v>
      </c>
      <c r="R10" s="23">
        <v>0.0</v>
      </c>
      <c r="S10" s="26">
        <f t="shared" si="3"/>
        <v>0</v>
      </c>
      <c r="T10" s="23">
        <v>0.0</v>
      </c>
      <c r="U10" s="23">
        <v>0.0</v>
      </c>
      <c r="V10" s="23">
        <v>0.0</v>
      </c>
      <c r="W10" s="23">
        <v>0.0</v>
      </c>
      <c r="X10" s="26">
        <f t="shared" si="4"/>
        <v>0</v>
      </c>
    </row>
    <row r="11">
      <c r="A11" s="20" t="s">
        <v>32</v>
      </c>
      <c r="B11" s="21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2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17.0</v>
      </c>
      <c r="C12" s="23">
        <v>0.0</v>
      </c>
      <c r="D12" s="23">
        <v>17.0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5">
        <f t="shared" si="1"/>
        <v>17</v>
      </c>
      <c r="K12" s="23">
        <v>16.0</v>
      </c>
      <c r="L12" s="23">
        <v>1.0</v>
      </c>
      <c r="M12" s="25">
        <f t="shared" si="2"/>
        <v>17</v>
      </c>
      <c r="N12" s="23">
        <v>5.0</v>
      </c>
      <c r="O12" s="22">
        <v>3.0</v>
      </c>
      <c r="P12" s="23">
        <v>9.0</v>
      </c>
      <c r="Q12" s="23">
        <v>0.0</v>
      </c>
      <c r="R12" s="23">
        <v>0.0</v>
      </c>
      <c r="S12" s="26">
        <f t="shared" si="3"/>
        <v>17</v>
      </c>
      <c r="T12" s="23">
        <v>15.0</v>
      </c>
      <c r="U12" s="23">
        <v>0.0</v>
      </c>
      <c r="V12" s="23">
        <v>2.0</v>
      </c>
      <c r="W12" s="23">
        <v>0.0</v>
      </c>
      <c r="X12" s="26">
        <f t="shared" si="4"/>
        <v>17</v>
      </c>
    </row>
    <row r="13">
      <c r="A13" s="20" t="s">
        <v>34</v>
      </c>
      <c r="B13" s="21">
        <v>12.0</v>
      </c>
      <c r="C13" s="23">
        <v>0.0</v>
      </c>
      <c r="D13" s="23">
        <v>12.0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25">
        <f t="shared" si="1"/>
        <v>12</v>
      </c>
      <c r="K13" s="23">
        <v>11.0</v>
      </c>
      <c r="L13" s="23">
        <v>1.0</v>
      </c>
      <c r="M13" s="25">
        <f t="shared" si="2"/>
        <v>12</v>
      </c>
      <c r="N13" s="23">
        <v>0.0</v>
      </c>
      <c r="O13" s="22">
        <v>10.0</v>
      </c>
      <c r="P13" s="24">
        <v>2.0</v>
      </c>
      <c r="Q13" s="22">
        <v>0.0</v>
      </c>
      <c r="R13" s="23">
        <v>0.0</v>
      </c>
      <c r="S13" s="26">
        <f t="shared" si="3"/>
        <v>12</v>
      </c>
      <c r="T13" s="23">
        <v>8.0</v>
      </c>
      <c r="U13" s="23">
        <v>0.0</v>
      </c>
      <c r="V13" s="23">
        <v>2.0</v>
      </c>
      <c r="W13" s="24">
        <v>2.0</v>
      </c>
      <c r="X13" s="26">
        <f t="shared" si="4"/>
        <v>12</v>
      </c>
    </row>
    <row r="14">
      <c r="A14" s="20" t="s">
        <v>35</v>
      </c>
      <c r="B14" s="27">
        <v>13.0</v>
      </c>
      <c r="C14" s="23">
        <v>0.0</v>
      </c>
      <c r="D14" s="23">
        <v>13.0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5">
        <f t="shared" si="1"/>
        <v>13</v>
      </c>
      <c r="K14" s="23">
        <v>12.0</v>
      </c>
      <c r="L14" s="23">
        <v>1.0</v>
      </c>
      <c r="M14" s="25">
        <f t="shared" si="2"/>
        <v>13</v>
      </c>
      <c r="N14" s="23">
        <v>9.0</v>
      </c>
      <c r="O14" s="23">
        <v>3.0</v>
      </c>
      <c r="P14" s="23">
        <v>1.0</v>
      </c>
      <c r="Q14" s="23">
        <v>0.0</v>
      </c>
      <c r="R14" s="23">
        <v>0.0</v>
      </c>
      <c r="S14" s="26">
        <f t="shared" si="3"/>
        <v>13</v>
      </c>
      <c r="T14" s="23">
        <v>7.0</v>
      </c>
      <c r="U14" s="23">
        <v>1.0</v>
      </c>
      <c r="V14" s="23">
        <v>2.0</v>
      </c>
      <c r="W14" s="23">
        <v>3.0</v>
      </c>
      <c r="X14" s="26">
        <f t="shared" si="4"/>
        <v>13</v>
      </c>
    </row>
    <row r="15">
      <c r="A15" s="20" t="s">
        <v>36</v>
      </c>
      <c r="B15" s="21">
        <v>0.0</v>
      </c>
      <c r="C15" s="23">
        <v>0.0</v>
      </c>
      <c r="D15" s="23">
        <v>0.0</v>
      </c>
      <c r="E15" s="23">
        <v>0.0</v>
      </c>
      <c r="F15" s="23">
        <v>0.0</v>
      </c>
      <c r="G15" s="22">
        <v>0.0</v>
      </c>
      <c r="H15" s="22">
        <v>0.0</v>
      </c>
      <c r="I15" s="23">
        <v>0.0</v>
      </c>
      <c r="J15" s="25">
        <f t="shared" si="1"/>
        <v>0</v>
      </c>
      <c r="K15" s="23">
        <v>0.0</v>
      </c>
      <c r="L15" s="24">
        <v>0.0</v>
      </c>
      <c r="M15" s="25">
        <f t="shared" si="2"/>
        <v>0</v>
      </c>
      <c r="N15" s="23">
        <v>0.0</v>
      </c>
      <c r="O15" s="22">
        <v>0.0</v>
      </c>
      <c r="P15" s="24">
        <v>0.0</v>
      </c>
      <c r="Q15" s="24">
        <v>0.0</v>
      </c>
      <c r="R15" s="24">
        <v>0.0</v>
      </c>
      <c r="S15" s="26">
        <f t="shared" si="3"/>
        <v>0</v>
      </c>
      <c r="T15" s="23">
        <v>0.0</v>
      </c>
      <c r="U15" s="23">
        <v>0.0</v>
      </c>
      <c r="V15" s="24">
        <v>0.0</v>
      </c>
      <c r="W15" s="23">
        <v>0.0</v>
      </c>
      <c r="X15" s="26">
        <f t="shared" si="4"/>
        <v>0</v>
      </c>
    </row>
    <row r="16">
      <c r="A16" s="20" t="s">
        <v>37</v>
      </c>
      <c r="B16" s="21">
        <v>2.0</v>
      </c>
      <c r="C16" s="23">
        <v>1.0</v>
      </c>
      <c r="D16" s="23">
        <v>1.0</v>
      </c>
      <c r="E16" s="23">
        <v>0.0</v>
      </c>
      <c r="F16" s="23">
        <v>0.0</v>
      </c>
      <c r="G16" s="22">
        <v>0.0</v>
      </c>
      <c r="H16" s="22">
        <v>0.0</v>
      </c>
      <c r="I16" s="23">
        <v>0.0</v>
      </c>
      <c r="J16" s="25">
        <f t="shared" si="1"/>
        <v>2</v>
      </c>
      <c r="K16" s="23">
        <v>2.0</v>
      </c>
      <c r="L16" s="24">
        <v>0.0</v>
      </c>
      <c r="M16" s="25">
        <f t="shared" si="2"/>
        <v>2</v>
      </c>
      <c r="N16" s="23">
        <v>1.0</v>
      </c>
      <c r="O16" s="22">
        <v>0.0</v>
      </c>
      <c r="P16" s="24">
        <v>1.0</v>
      </c>
      <c r="Q16" s="24">
        <v>0.0</v>
      </c>
      <c r="R16" s="24">
        <v>0.0</v>
      </c>
      <c r="S16" s="26">
        <f t="shared" si="3"/>
        <v>2</v>
      </c>
      <c r="T16" s="23">
        <v>0.0</v>
      </c>
      <c r="U16" s="23">
        <v>0.0</v>
      </c>
      <c r="V16" s="24">
        <v>2.0</v>
      </c>
      <c r="W16" s="23">
        <v>0.0</v>
      </c>
      <c r="X16" s="26">
        <f t="shared" si="4"/>
        <v>2</v>
      </c>
    </row>
    <row r="17">
      <c r="A17" s="20" t="s">
        <v>38</v>
      </c>
      <c r="B17" s="21">
        <v>7.0</v>
      </c>
      <c r="C17" s="23">
        <v>0.0</v>
      </c>
      <c r="D17" s="23">
        <v>7.0</v>
      </c>
      <c r="E17" s="23">
        <v>0.0</v>
      </c>
      <c r="F17" s="23">
        <v>0.0</v>
      </c>
      <c r="G17" s="22">
        <v>0.0</v>
      </c>
      <c r="H17" s="22">
        <v>0.0</v>
      </c>
      <c r="I17" s="23">
        <v>0.0</v>
      </c>
      <c r="J17" s="25">
        <f t="shared" si="1"/>
        <v>7</v>
      </c>
      <c r="K17" s="23">
        <v>7.0</v>
      </c>
      <c r="L17" s="24">
        <v>0.0</v>
      </c>
      <c r="M17" s="25">
        <f t="shared" si="2"/>
        <v>7</v>
      </c>
      <c r="N17" s="23">
        <v>0.0</v>
      </c>
      <c r="O17" s="22">
        <v>2.0</v>
      </c>
      <c r="P17" s="24">
        <v>2.0</v>
      </c>
      <c r="Q17" s="24">
        <v>3.0</v>
      </c>
      <c r="R17" s="24">
        <v>0.0</v>
      </c>
      <c r="S17" s="26">
        <f t="shared" si="3"/>
        <v>7</v>
      </c>
      <c r="T17" s="23">
        <v>0.0</v>
      </c>
      <c r="U17" s="23">
        <v>0.0</v>
      </c>
      <c r="V17" s="24">
        <v>4.0</v>
      </c>
      <c r="W17" s="23">
        <v>3.0</v>
      </c>
      <c r="X17" s="26">
        <f t="shared" si="4"/>
        <v>7</v>
      </c>
    </row>
    <row r="18">
      <c r="A18" s="20" t="s">
        <v>39</v>
      </c>
      <c r="B18" s="27">
        <v>116.0</v>
      </c>
      <c r="C18" s="23">
        <v>6.0</v>
      </c>
      <c r="D18" s="23">
        <v>107.0</v>
      </c>
      <c r="E18" s="23">
        <v>0.0</v>
      </c>
      <c r="F18" s="23">
        <v>0.0</v>
      </c>
      <c r="G18" s="23">
        <v>0.0</v>
      </c>
      <c r="H18" s="23">
        <v>0.0</v>
      </c>
      <c r="I18" s="23">
        <v>3.0</v>
      </c>
      <c r="J18" s="25">
        <f t="shared" si="1"/>
        <v>116</v>
      </c>
      <c r="K18" s="23">
        <v>105.0</v>
      </c>
      <c r="L18" s="23">
        <v>11.0</v>
      </c>
      <c r="M18" s="25">
        <f t="shared" si="2"/>
        <v>116</v>
      </c>
      <c r="N18" s="23">
        <v>21.0</v>
      </c>
      <c r="O18" s="23">
        <v>79.0</v>
      </c>
      <c r="P18" s="23">
        <v>13.0</v>
      </c>
      <c r="Q18" s="23">
        <v>3.0</v>
      </c>
      <c r="R18" s="23">
        <v>0.0</v>
      </c>
      <c r="S18" s="26">
        <f t="shared" si="3"/>
        <v>116</v>
      </c>
      <c r="T18" s="23">
        <v>70.0</v>
      </c>
      <c r="U18" s="23">
        <v>11.0</v>
      </c>
      <c r="V18" s="23">
        <v>28.0</v>
      </c>
      <c r="W18" s="23">
        <v>7.0</v>
      </c>
      <c r="X18" s="26">
        <f t="shared" si="4"/>
        <v>116</v>
      </c>
    </row>
    <row r="19">
      <c r="A19" s="20" t="s">
        <v>40</v>
      </c>
      <c r="B19" s="27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5">
        <f t="shared" si="1"/>
        <v>0</v>
      </c>
      <c r="K19" s="23">
        <v>0.0</v>
      </c>
      <c r="L19" s="23">
        <v>0.0</v>
      </c>
      <c r="M19" s="25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0</v>
      </c>
      <c r="T19" s="23">
        <v>0.0</v>
      </c>
      <c r="U19" s="23">
        <v>0.0</v>
      </c>
      <c r="V19" s="23">
        <v>0.0</v>
      </c>
      <c r="W19" s="23">
        <v>0.0</v>
      </c>
      <c r="X19" s="26">
        <f t="shared" si="4"/>
        <v>0</v>
      </c>
    </row>
    <row r="20">
      <c r="A20" s="20" t="s">
        <v>41</v>
      </c>
      <c r="B20" s="21">
        <v>0.0</v>
      </c>
      <c r="C20" s="22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2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4">
        <v>0.0</v>
      </c>
      <c r="X20" s="26">
        <f t="shared" si="4"/>
        <v>0</v>
      </c>
    </row>
    <row r="21">
      <c r="A21" s="20" t="s">
        <v>42</v>
      </c>
      <c r="B21" s="27">
        <v>6.0</v>
      </c>
      <c r="C21" s="23">
        <v>0.0</v>
      </c>
      <c r="D21" s="23">
        <v>6.0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5">
        <f t="shared" si="1"/>
        <v>6</v>
      </c>
      <c r="K21" s="23">
        <v>6.0</v>
      </c>
      <c r="L21" s="23">
        <v>0.0</v>
      </c>
      <c r="M21" s="25">
        <f t="shared" si="2"/>
        <v>6</v>
      </c>
      <c r="N21" s="23">
        <v>6.0</v>
      </c>
      <c r="O21" s="23">
        <v>0.0</v>
      </c>
      <c r="P21" s="23">
        <v>0.0</v>
      </c>
      <c r="Q21" s="23">
        <v>0.0</v>
      </c>
      <c r="R21" s="23">
        <v>0.0</v>
      </c>
      <c r="S21" s="26">
        <f t="shared" si="3"/>
        <v>6</v>
      </c>
      <c r="T21" s="23">
        <v>4.0</v>
      </c>
      <c r="U21" s="23">
        <v>0.0</v>
      </c>
      <c r="V21" s="23">
        <v>1.0</v>
      </c>
      <c r="W21" s="23">
        <v>1.0</v>
      </c>
      <c r="X21" s="26">
        <f t="shared" si="4"/>
        <v>6</v>
      </c>
    </row>
    <row r="22">
      <c r="A22" s="20" t="s">
        <v>43</v>
      </c>
      <c r="B22" s="27">
        <v>122.0</v>
      </c>
      <c r="C22" s="23">
        <v>0.0</v>
      </c>
      <c r="D22" s="23">
        <v>121.0</v>
      </c>
      <c r="E22" s="23">
        <v>0.0</v>
      </c>
      <c r="F22" s="23">
        <v>0.0</v>
      </c>
      <c r="G22" s="23">
        <v>0.0</v>
      </c>
      <c r="H22" s="23">
        <v>1.0</v>
      </c>
      <c r="I22" s="23">
        <v>0.0</v>
      </c>
      <c r="J22" s="25">
        <f t="shared" si="1"/>
        <v>122</v>
      </c>
      <c r="K22" s="23">
        <v>121.0</v>
      </c>
      <c r="L22" s="23">
        <v>1.0</v>
      </c>
      <c r="M22" s="25">
        <f t="shared" si="2"/>
        <v>122</v>
      </c>
      <c r="N22" s="23">
        <v>50.0</v>
      </c>
      <c r="O22" s="23">
        <v>63.0</v>
      </c>
      <c r="P22" s="23">
        <v>9.0</v>
      </c>
      <c r="Q22" s="23">
        <v>0.0</v>
      </c>
      <c r="R22" s="23">
        <v>0.0</v>
      </c>
      <c r="S22" s="26">
        <f t="shared" si="3"/>
        <v>122</v>
      </c>
      <c r="T22" s="23">
        <v>115.0</v>
      </c>
      <c r="U22" s="23">
        <v>0.0</v>
      </c>
      <c r="V22" s="23">
        <v>1.0</v>
      </c>
      <c r="W22" s="23">
        <v>6.0</v>
      </c>
      <c r="X22" s="26">
        <f t="shared" si="4"/>
        <v>122</v>
      </c>
    </row>
    <row r="23">
      <c r="A23" s="20" t="s">
        <v>44</v>
      </c>
      <c r="B23" s="27">
        <v>22.0</v>
      </c>
      <c r="C23" s="23">
        <v>0.0</v>
      </c>
      <c r="D23" s="23">
        <v>22.0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5">
        <f t="shared" si="1"/>
        <v>22</v>
      </c>
      <c r="K23" s="23">
        <v>22.0</v>
      </c>
      <c r="L23" s="23">
        <v>0.0</v>
      </c>
      <c r="M23" s="25">
        <f t="shared" si="2"/>
        <v>22</v>
      </c>
      <c r="N23" s="23">
        <v>19.0</v>
      </c>
      <c r="O23" s="23">
        <v>3.0</v>
      </c>
      <c r="P23" s="23">
        <v>0.0</v>
      </c>
      <c r="Q23" s="23">
        <v>0.0</v>
      </c>
      <c r="R23" s="23">
        <v>0.0</v>
      </c>
      <c r="S23" s="26">
        <f t="shared" si="3"/>
        <v>22</v>
      </c>
      <c r="T23" s="23">
        <v>20.0</v>
      </c>
      <c r="U23" s="23">
        <v>0.0</v>
      </c>
      <c r="V23" s="23">
        <v>2.0</v>
      </c>
      <c r="W23" s="23">
        <v>0.0</v>
      </c>
      <c r="X23" s="26">
        <f t="shared" si="4"/>
        <v>22</v>
      </c>
    </row>
    <row r="24">
      <c r="A24" s="20" t="s">
        <v>45</v>
      </c>
      <c r="B24" s="27">
        <v>1.0</v>
      </c>
      <c r="C24" s="23">
        <v>1.0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5">
        <f t="shared" si="1"/>
        <v>1</v>
      </c>
      <c r="K24" s="23">
        <v>1.0</v>
      </c>
      <c r="L24" s="23">
        <v>0.0</v>
      </c>
      <c r="M24" s="25">
        <f t="shared" si="2"/>
        <v>1</v>
      </c>
      <c r="N24" s="23">
        <v>0.0</v>
      </c>
      <c r="O24" s="23">
        <v>1.0</v>
      </c>
      <c r="P24" s="23">
        <v>0.0</v>
      </c>
      <c r="Q24" s="23">
        <v>0.0</v>
      </c>
      <c r="R24" s="23">
        <v>0.0</v>
      </c>
      <c r="S24" s="26">
        <f t="shared" si="3"/>
        <v>1</v>
      </c>
      <c r="T24" s="23">
        <v>1.0</v>
      </c>
      <c r="U24" s="23">
        <v>0.0</v>
      </c>
      <c r="V24" s="23">
        <v>0.0</v>
      </c>
      <c r="W24" s="23">
        <v>0.0</v>
      </c>
      <c r="X24" s="26">
        <f t="shared" si="4"/>
        <v>1</v>
      </c>
    </row>
    <row r="25">
      <c r="A25" s="20" t="s">
        <v>46</v>
      </c>
      <c r="B25" s="27">
        <v>15.0</v>
      </c>
      <c r="C25" s="23">
        <v>2.0</v>
      </c>
      <c r="D25" s="23">
        <v>13.0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5">
        <f t="shared" si="1"/>
        <v>15</v>
      </c>
      <c r="K25" s="23">
        <v>12.0</v>
      </c>
      <c r="L25" s="23">
        <v>3.0</v>
      </c>
      <c r="M25" s="25">
        <f t="shared" si="2"/>
        <v>15</v>
      </c>
      <c r="N25" s="23">
        <v>4.0</v>
      </c>
      <c r="O25" s="23">
        <v>10.0</v>
      </c>
      <c r="P25" s="23">
        <v>0.0</v>
      </c>
      <c r="Q25" s="23">
        <v>1.0</v>
      </c>
      <c r="R25" s="23">
        <v>0.0</v>
      </c>
      <c r="S25" s="26">
        <f t="shared" si="3"/>
        <v>15</v>
      </c>
      <c r="T25" s="23">
        <v>11.0</v>
      </c>
      <c r="U25" s="23">
        <v>0.0</v>
      </c>
      <c r="V25" s="23">
        <v>3.0</v>
      </c>
      <c r="W25" s="23">
        <v>1.0</v>
      </c>
      <c r="X25" s="26">
        <f t="shared" si="4"/>
        <v>15</v>
      </c>
    </row>
    <row r="26">
      <c r="A26" s="20" t="s">
        <v>47</v>
      </c>
      <c r="B26" s="27">
        <v>2.0</v>
      </c>
      <c r="C26" s="23">
        <v>1.0</v>
      </c>
      <c r="D26" s="23">
        <v>1.0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5">
        <f t="shared" si="1"/>
        <v>2</v>
      </c>
      <c r="K26" s="23">
        <v>2.0</v>
      </c>
      <c r="L26" s="23">
        <v>0.0</v>
      </c>
      <c r="M26" s="25">
        <f t="shared" si="2"/>
        <v>2</v>
      </c>
      <c r="N26" s="23">
        <v>0.0</v>
      </c>
      <c r="O26" s="23">
        <v>2.0</v>
      </c>
      <c r="P26" s="23">
        <v>0.0</v>
      </c>
      <c r="Q26" s="23">
        <v>0.0</v>
      </c>
      <c r="R26" s="23">
        <v>0.0</v>
      </c>
      <c r="S26" s="26">
        <f t="shared" si="3"/>
        <v>2</v>
      </c>
      <c r="T26" s="23">
        <v>0.0</v>
      </c>
      <c r="U26" s="23">
        <v>1.0</v>
      </c>
      <c r="V26" s="23">
        <v>1.0</v>
      </c>
      <c r="W26" s="23">
        <v>0.0</v>
      </c>
      <c r="X26" s="26">
        <f t="shared" si="4"/>
        <v>2</v>
      </c>
    </row>
    <row r="27">
      <c r="A27" s="20" t="s">
        <v>48</v>
      </c>
      <c r="B27" s="21">
        <v>1.0</v>
      </c>
      <c r="C27" s="23">
        <v>0.0</v>
      </c>
      <c r="D27" s="23">
        <v>1.0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5">
        <f t="shared" si="1"/>
        <v>1</v>
      </c>
      <c r="K27" s="23">
        <v>0.0</v>
      </c>
      <c r="L27" s="23">
        <v>1.0</v>
      </c>
      <c r="M27" s="25">
        <f t="shared" si="2"/>
        <v>1</v>
      </c>
      <c r="N27" s="23">
        <v>0.0</v>
      </c>
      <c r="O27" s="23">
        <v>1.0</v>
      </c>
      <c r="P27" s="24">
        <v>0.0</v>
      </c>
      <c r="Q27" s="23">
        <v>0.0</v>
      </c>
      <c r="R27" s="24">
        <v>0.0</v>
      </c>
      <c r="S27" s="26">
        <f t="shared" si="3"/>
        <v>1</v>
      </c>
      <c r="T27" s="23">
        <v>0.0</v>
      </c>
      <c r="U27" s="23">
        <v>0.0</v>
      </c>
      <c r="V27" s="23">
        <v>1.0</v>
      </c>
      <c r="W27" s="23">
        <v>0.0</v>
      </c>
      <c r="X27" s="26">
        <f t="shared" si="4"/>
        <v>1</v>
      </c>
    </row>
    <row r="28">
      <c r="A28" s="20" t="s">
        <v>49</v>
      </c>
      <c r="B28" s="21">
        <v>1.0</v>
      </c>
      <c r="C28" s="23">
        <v>0.0</v>
      </c>
      <c r="D28" s="23">
        <v>1.0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5">
        <f t="shared" si="1"/>
        <v>1</v>
      </c>
      <c r="K28" s="23">
        <v>1.0</v>
      </c>
      <c r="L28" s="23">
        <v>0.0</v>
      </c>
      <c r="M28" s="25">
        <f t="shared" si="2"/>
        <v>1</v>
      </c>
      <c r="N28" s="23">
        <v>0.0</v>
      </c>
      <c r="O28" s="23">
        <v>1.0</v>
      </c>
      <c r="P28" s="24">
        <v>0.0</v>
      </c>
      <c r="Q28" s="23">
        <v>0.0</v>
      </c>
      <c r="R28" s="24">
        <v>0.0</v>
      </c>
      <c r="S28" s="26">
        <f t="shared" si="3"/>
        <v>1</v>
      </c>
      <c r="T28" s="23">
        <v>1.0</v>
      </c>
      <c r="U28" s="23">
        <v>0.0</v>
      </c>
      <c r="V28" s="23">
        <v>0.0</v>
      </c>
      <c r="W28" s="23">
        <v>0.0</v>
      </c>
      <c r="X28" s="26">
        <f t="shared" si="4"/>
        <v>1</v>
      </c>
    </row>
    <row r="29">
      <c r="A29" s="20" t="s">
        <v>50</v>
      </c>
      <c r="B29" s="21">
        <v>7.0</v>
      </c>
      <c r="C29" s="22">
        <v>0.0</v>
      </c>
      <c r="D29" s="23">
        <v>7.0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5">
        <f t="shared" si="1"/>
        <v>7</v>
      </c>
      <c r="K29" s="23">
        <v>7.0</v>
      </c>
      <c r="L29" s="23">
        <v>0.0</v>
      </c>
      <c r="M29" s="25">
        <f t="shared" si="2"/>
        <v>7</v>
      </c>
      <c r="N29" s="23">
        <v>0.0</v>
      </c>
      <c r="O29" s="23">
        <v>6.0</v>
      </c>
      <c r="P29" s="24">
        <v>0.0</v>
      </c>
      <c r="Q29" s="23">
        <v>1.0</v>
      </c>
      <c r="R29" s="24">
        <v>0.0</v>
      </c>
      <c r="S29" s="26">
        <f t="shared" si="3"/>
        <v>7</v>
      </c>
      <c r="T29" s="23">
        <v>4.0</v>
      </c>
      <c r="U29" s="23">
        <v>0.0</v>
      </c>
      <c r="V29" s="23">
        <v>3.0</v>
      </c>
      <c r="W29" s="23">
        <v>0.0</v>
      </c>
      <c r="X29" s="26">
        <f t="shared" si="4"/>
        <v>7</v>
      </c>
    </row>
    <row r="30">
      <c r="A30" s="20" t="s">
        <v>51</v>
      </c>
      <c r="B30" s="27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5">
        <f t="shared" si="1"/>
        <v>0</v>
      </c>
      <c r="K30" s="23">
        <v>0.0</v>
      </c>
      <c r="L30" s="23">
        <v>0.0</v>
      </c>
      <c r="M30" s="25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6">
        <f t="shared" si="3"/>
        <v>0</v>
      </c>
      <c r="T30" s="23">
        <v>0.0</v>
      </c>
      <c r="U30" s="23">
        <v>0.0</v>
      </c>
      <c r="V30" s="23">
        <v>0.0</v>
      </c>
      <c r="W30" s="23">
        <v>0.0</v>
      </c>
      <c r="X30" s="26">
        <f t="shared" si="4"/>
        <v>0</v>
      </c>
    </row>
    <row r="31">
      <c r="A31" s="20" t="s">
        <v>52</v>
      </c>
      <c r="B31" s="27">
        <v>11.0</v>
      </c>
      <c r="C31" s="23">
        <v>0.0</v>
      </c>
      <c r="D31" s="23">
        <v>11.0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5">
        <f t="shared" si="1"/>
        <v>11</v>
      </c>
      <c r="K31" s="23">
        <v>10.0</v>
      </c>
      <c r="L31" s="23">
        <v>1.0</v>
      </c>
      <c r="M31" s="25">
        <f t="shared" si="2"/>
        <v>11</v>
      </c>
      <c r="N31" s="23">
        <v>0.0</v>
      </c>
      <c r="O31" s="23">
        <v>2.0</v>
      </c>
      <c r="P31" s="23">
        <v>9.0</v>
      </c>
      <c r="Q31" s="23">
        <v>0.0</v>
      </c>
      <c r="R31" s="23">
        <v>0.0</v>
      </c>
      <c r="S31" s="26">
        <f t="shared" si="3"/>
        <v>11</v>
      </c>
      <c r="T31" s="23">
        <v>6.0</v>
      </c>
      <c r="U31" s="23">
        <v>0.0</v>
      </c>
      <c r="V31" s="23">
        <v>3.0</v>
      </c>
      <c r="W31" s="23">
        <v>2.0</v>
      </c>
      <c r="X31" s="26">
        <f t="shared" si="4"/>
        <v>11</v>
      </c>
    </row>
    <row r="32">
      <c r="A32" s="20" t="s">
        <v>53</v>
      </c>
      <c r="B32" s="21">
        <v>3.0</v>
      </c>
      <c r="C32" s="23">
        <v>0.0</v>
      </c>
      <c r="D32" s="23">
        <v>3.0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5">
        <f t="shared" si="1"/>
        <v>3</v>
      </c>
      <c r="K32" s="23">
        <v>3.0</v>
      </c>
      <c r="L32" s="23">
        <v>0.0</v>
      </c>
      <c r="M32" s="25">
        <f t="shared" si="2"/>
        <v>3</v>
      </c>
      <c r="N32" s="23">
        <v>0.0</v>
      </c>
      <c r="O32" s="22">
        <v>2.0</v>
      </c>
      <c r="P32" s="24">
        <v>1.0</v>
      </c>
      <c r="Q32" s="22">
        <v>0.0</v>
      </c>
      <c r="R32" s="23">
        <v>0.0</v>
      </c>
      <c r="S32" s="26">
        <f t="shared" si="3"/>
        <v>3</v>
      </c>
      <c r="T32" s="23">
        <v>1.0</v>
      </c>
      <c r="U32" s="23">
        <v>0.0</v>
      </c>
      <c r="V32" s="23">
        <v>2.0</v>
      </c>
      <c r="W32" s="23">
        <v>0.0</v>
      </c>
      <c r="X32" s="26">
        <f t="shared" si="4"/>
        <v>3</v>
      </c>
    </row>
    <row r="33">
      <c r="A33" s="20" t="s">
        <v>54</v>
      </c>
      <c r="B33" s="21">
        <v>14.0</v>
      </c>
      <c r="C33" s="23">
        <v>0.0</v>
      </c>
      <c r="D33" s="23">
        <v>14.0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5">
        <f t="shared" si="1"/>
        <v>14</v>
      </c>
      <c r="K33" s="23">
        <v>14.0</v>
      </c>
      <c r="L33" s="23">
        <v>0.0</v>
      </c>
      <c r="M33" s="25">
        <f t="shared" si="2"/>
        <v>14</v>
      </c>
      <c r="N33" s="23">
        <v>0.0</v>
      </c>
      <c r="O33" s="23">
        <v>5.0</v>
      </c>
      <c r="P33" s="24">
        <v>9.0</v>
      </c>
      <c r="Q33" s="23">
        <v>0.0</v>
      </c>
      <c r="R33" s="23">
        <v>0.0</v>
      </c>
      <c r="S33" s="26">
        <f t="shared" si="3"/>
        <v>14</v>
      </c>
      <c r="T33" s="23">
        <v>7.0</v>
      </c>
      <c r="U33" s="23">
        <v>1.0</v>
      </c>
      <c r="V33" s="23">
        <v>2.0</v>
      </c>
      <c r="W33" s="23">
        <v>4.0</v>
      </c>
      <c r="X33" s="26">
        <f t="shared" si="4"/>
        <v>14</v>
      </c>
    </row>
    <row r="34">
      <c r="A34" s="20" t="s">
        <v>55</v>
      </c>
      <c r="B34" s="27">
        <v>3.0</v>
      </c>
      <c r="C34" s="23">
        <v>0.0</v>
      </c>
      <c r="D34" s="23">
        <v>3.0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5">
        <f t="shared" si="1"/>
        <v>3</v>
      </c>
      <c r="K34" s="23">
        <v>3.0</v>
      </c>
      <c r="L34" s="23">
        <v>0.0</v>
      </c>
      <c r="M34" s="25">
        <f t="shared" si="2"/>
        <v>3</v>
      </c>
      <c r="N34" s="23">
        <v>0.0</v>
      </c>
      <c r="O34" s="23">
        <v>0.0</v>
      </c>
      <c r="P34" s="23">
        <v>3.0</v>
      </c>
      <c r="Q34" s="23">
        <v>0.0</v>
      </c>
      <c r="R34" s="23">
        <v>0.0</v>
      </c>
      <c r="S34" s="26">
        <f t="shared" si="3"/>
        <v>3</v>
      </c>
      <c r="T34" s="23">
        <v>1.0</v>
      </c>
      <c r="U34" s="23">
        <v>0.0</v>
      </c>
      <c r="V34" s="23">
        <v>2.0</v>
      </c>
      <c r="W34" s="23">
        <v>0.0</v>
      </c>
      <c r="X34" s="26">
        <f t="shared" si="4"/>
        <v>3</v>
      </c>
    </row>
    <row r="35">
      <c r="A35" s="20" t="s">
        <v>56</v>
      </c>
      <c r="B35" s="27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2.0</v>
      </c>
      <c r="C36" s="23">
        <v>0.0</v>
      </c>
      <c r="D36" s="23">
        <v>2.0</v>
      </c>
      <c r="E36" s="23">
        <v>0.0</v>
      </c>
      <c r="F36" s="23">
        <v>0.0</v>
      </c>
      <c r="G36" s="23">
        <v>0.0</v>
      </c>
      <c r="H36" s="22">
        <v>0.0</v>
      </c>
      <c r="I36" s="23">
        <v>0.0</v>
      </c>
      <c r="J36" s="25">
        <f t="shared" si="1"/>
        <v>2</v>
      </c>
      <c r="K36" s="23">
        <v>2.0</v>
      </c>
      <c r="L36" s="23">
        <v>0.0</v>
      </c>
      <c r="M36" s="25">
        <f t="shared" si="2"/>
        <v>2</v>
      </c>
      <c r="N36" s="23">
        <v>1.0</v>
      </c>
      <c r="O36" s="23">
        <v>1.0</v>
      </c>
      <c r="P36" s="24">
        <v>0.0</v>
      </c>
      <c r="Q36" s="23">
        <v>0.0</v>
      </c>
      <c r="R36" s="23">
        <v>0.0</v>
      </c>
      <c r="S36" s="26">
        <f t="shared" si="3"/>
        <v>2</v>
      </c>
      <c r="T36" s="23">
        <v>1.0</v>
      </c>
      <c r="U36" s="23">
        <v>0.0</v>
      </c>
      <c r="V36" s="23">
        <v>1.0</v>
      </c>
      <c r="W36" s="23">
        <v>0.0</v>
      </c>
      <c r="X36" s="26">
        <f t="shared" si="4"/>
        <v>2</v>
      </c>
    </row>
    <row r="37">
      <c r="A37" s="20" t="s">
        <v>58</v>
      </c>
      <c r="B37" s="21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9">
        <v>0.0</v>
      </c>
      <c r="D38" s="29">
        <v>0.0</v>
      </c>
      <c r="E38" s="29">
        <v>0.0</v>
      </c>
      <c r="F38" s="29">
        <v>0.0</v>
      </c>
      <c r="G38" s="29">
        <v>0.0</v>
      </c>
      <c r="H38" s="29">
        <v>0.0</v>
      </c>
      <c r="I38" s="29">
        <v>0.0</v>
      </c>
      <c r="J38" s="25">
        <f t="shared" si="1"/>
        <v>0</v>
      </c>
      <c r="K38" s="29">
        <v>0.0</v>
      </c>
      <c r="L38" s="29">
        <v>0.0</v>
      </c>
      <c r="M38" s="25">
        <f t="shared" si="2"/>
        <v>0</v>
      </c>
      <c r="N38" s="29">
        <v>0.0</v>
      </c>
      <c r="O38" s="29">
        <v>0.0</v>
      </c>
      <c r="P38" s="29">
        <v>0.0</v>
      </c>
      <c r="Q38" s="29">
        <v>0.0</v>
      </c>
      <c r="R38" s="29">
        <v>0.0</v>
      </c>
      <c r="S38" s="26">
        <f t="shared" si="3"/>
        <v>0</v>
      </c>
      <c r="T38" s="29">
        <v>0.0</v>
      </c>
      <c r="U38" s="29">
        <v>0.0</v>
      </c>
      <c r="V38" s="29">
        <v>0.0</v>
      </c>
      <c r="W38" s="29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/>
      <c r="C39" s="29"/>
      <c r="D39" s="29"/>
      <c r="E39" s="29"/>
      <c r="F39" s="29"/>
      <c r="G39" s="29"/>
      <c r="H39" s="29"/>
      <c r="I39" s="29"/>
      <c r="J39" s="25"/>
      <c r="K39" s="29"/>
      <c r="L39" s="29"/>
      <c r="M39" s="25"/>
      <c r="N39" s="29">
        <v>0.0</v>
      </c>
      <c r="O39" s="29">
        <v>0.0</v>
      </c>
      <c r="P39" s="29">
        <v>0.0</v>
      </c>
      <c r="Q39" s="29">
        <v>0.0</v>
      </c>
      <c r="R39" s="29">
        <v>0.0</v>
      </c>
      <c r="S39" s="26"/>
      <c r="T39" s="29"/>
      <c r="U39" s="29"/>
      <c r="V39" s="29"/>
      <c r="W39" s="29"/>
      <c r="X39" s="26"/>
      <c r="Y39" s="30"/>
      <c r="Z39" s="30"/>
    </row>
    <row r="40">
      <c r="A40" s="20" t="s">
        <v>61</v>
      </c>
      <c r="B40" s="28">
        <v>1.0</v>
      </c>
      <c r="C40" s="29">
        <v>0.0</v>
      </c>
      <c r="D40" s="29">
        <v>1.0</v>
      </c>
      <c r="E40" s="29">
        <v>0.0</v>
      </c>
      <c r="F40" s="29">
        <v>0.0</v>
      </c>
      <c r="G40" s="29">
        <v>0.0</v>
      </c>
      <c r="H40" s="29">
        <v>0.0</v>
      </c>
      <c r="I40" s="29">
        <v>0.0</v>
      </c>
      <c r="J40" s="25">
        <f t="shared" ref="J40:J53" si="5">sum(C40:I40)</f>
        <v>1</v>
      </c>
      <c r="K40" s="29">
        <v>1.0</v>
      </c>
      <c r="L40" s="29">
        <v>0.0</v>
      </c>
      <c r="M40" s="25">
        <f t="shared" ref="M40:M53" si="6">sum(K40:L40)</f>
        <v>1</v>
      </c>
      <c r="N40" s="29">
        <v>0.0</v>
      </c>
      <c r="O40" s="29">
        <v>1.0</v>
      </c>
      <c r="P40" s="29">
        <v>0.0</v>
      </c>
      <c r="Q40" s="29">
        <v>0.0</v>
      </c>
      <c r="R40" s="29">
        <v>0.0</v>
      </c>
      <c r="S40" s="26">
        <f t="shared" ref="S40:S53" si="7">sum(N40:R40)</f>
        <v>1</v>
      </c>
      <c r="T40" s="29">
        <v>1.0</v>
      </c>
      <c r="U40" s="29">
        <v>0.0</v>
      </c>
      <c r="V40" s="29">
        <v>0.0</v>
      </c>
      <c r="W40" s="29">
        <v>0.0</v>
      </c>
      <c r="X40" s="26">
        <f t="shared" ref="X40:X53" si="8">sum(T40:W40)</f>
        <v>1</v>
      </c>
      <c r="Y40" s="30"/>
      <c r="Z40" s="30"/>
    </row>
    <row r="41">
      <c r="A41" s="20" t="s">
        <v>62</v>
      </c>
      <c r="B41" s="27">
        <v>18.0</v>
      </c>
      <c r="C41" s="23">
        <v>0.0</v>
      </c>
      <c r="D41" s="23">
        <v>18.0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5">
        <f t="shared" si="5"/>
        <v>18</v>
      </c>
      <c r="K41" s="23">
        <v>17.0</v>
      </c>
      <c r="L41" s="23">
        <v>1.0</v>
      </c>
      <c r="M41" s="25">
        <f t="shared" si="6"/>
        <v>18</v>
      </c>
      <c r="N41" s="23">
        <v>2.0</v>
      </c>
      <c r="O41" s="23">
        <v>1.0</v>
      </c>
      <c r="P41" s="23">
        <v>14.0</v>
      </c>
      <c r="Q41" s="23">
        <v>1.0</v>
      </c>
      <c r="R41" s="23">
        <v>0.0</v>
      </c>
      <c r="S41" s="26">
        <f t="shared" si="7"/>
        <v>18</v>
      </c>
      <c r="T41" s="23">
        <v>8.0</v>
      </c>
      <c r="U41" s="23">
        <v>1.0</v>
      </c>
      <c r="V41" s="23">
        <v>5.0</v>
      </c>
      <c r="W41" s="23">
        <v>4.0</v>
      </c>
      <c r="X41" s="26">
        <f t="shared" si="8"/>
        <v>18</v>
      </c>
    </row>
    <row r="42">
      <c r="A42" s="20" t="s">
        <v>63</v>
      </c>
      <c r="B42" s="27">
        <v>4.0</v>
      </c>
      <c r="C42" s="23">
        <v>0.0</v>
      </c>
      <c r="D42" s="23">
        <v>4.0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5">
        <f t="shared" si="5"/>
        <v>4</v>
      </c>
      <c r="K42" s="23">
        <v>4.0</v>
      </c>
      <c r="L42" s="23">
        <v>0.0</v>
      </c>
      <c r="M42" s="25">
        <f t="shared" si="6"/>
        <v>4</v>
      </c>
      <c r="N42" s="23">
        <v>0.0</v>
      </c>
      <c r="O42" s="23">
        <v>0.0</v>
      </c>
      <c r="P42" s="23">
        <v>4.0</v>
      </c>
      <c r="Q42" s="23">
        <v>0.0</v>
      </c>
      <c r="R42" s="23">
        <v>0.0</v>
      </c>
      <c r="S42" s="26">
        <f t="shared" si="7"/>
        <v>4</v>
      </c>
      <c r="T42" s="23">
        <v>4.0</v>
      </c>
      <c r="U42" s="23">
        <v>0.0</v>
      </c>
      <c r="V42" s="23">
        <v>0.0</v>
      </c>
      <c r="W42" s="23">
        <v>0.0</v>
      </c>
      <c r="X42" s="26">
        <f t="shared" si="8"/>
        <v>4</v>
      </c>
    </row>
    <row r="43">
      <c r="A43" s="20" t="s">
        <v>64</v>
      </c>
      <c r="B43" s="27">
        <v>3.0</v>
      </c>
      <c r="C43" s="23">
        <v>0.0</v>
      </c>
      <c r="D43" s="23">
        <v>1.0</v>
      </c>
      <c r="E43" s="23">
        <v>0.0</v>
      </c>
      <c r="F43" s="23">
        <v>0.0</v>
      </c>
      <c r="G43" s="23">
        <v>0.0</v>
      </c>
      <c r="H43" s="23">
        <v>0.0</v>
      </c>
      <c r="I43" s="23">
        <v>2.0</v>
      </c>
      <c r="J43" s="25">
        <f t="shared" si="5"/>
        <v>3</v>
      </c>
      <c r="K43" s="23">
        <v>3.0</v>
      </c>
      <c r="L43" s="23">
        <v>0.0</v>
      </c>
      <c r="M43" s="25">
        <f t="shared" si="6"/>
        <v>3</v>
      </c>
      <c r="N43" s="23">
        <v>0.0</v>
      </c>
      <c r="O43" s="23">
        <v>0.0</v>
      </c>
      <c r="P43" s="23">
        <v>2.0</v>
      </c>
      <c r="Q43" s="23">
        <v>0.0</v>
      </c>
      <c r="R43" s="23">
        <v>1.0</v>
      </c>
      <c r="S43" s="26">
        <f t="shared" si="7"/>
        <v>3</v>
      </c>
      <c r="T43" s="23">
        <v>0.0</v>
      </c>
      <c r="U43" s="23">
        <v>2.0</v>
      </c>
      <c r="V43" s="23">
        <v>1.0</v>
      </c>
      <c r="W43" s="23">
        <v>0.0</v>
      </c>
      <c r="X43" s="26">
        <f t="shared" si="8"/>
        <v>3</v>
      </c>
    </row>
    <row r="44">
      <c r="A44" s="20" t="s">
        <v>65</v>
      </c>
      <c r="B44" s="27">
        <v>0.0</v>
      </c>
      <c r="C44" s="23">
        <v>0.0</v>
      </c>
      <c r="D44" s="23">
        <v>0.0</v>
      </c>
      <c r="E44" s="23">
        <v>0.0</v>
      </c>
      <c r="F44" s="23">
        <v>0.0</v>
      </c>
      <c r="G44" s="37"/>
      <c r="H44" s="23">
        <v>0.0</v>
      </c>
      <c r="I44" s="23">
        <v>0.0</v>
      </c>
      <c r="J44" s="25">
        <f t="shared" si="5"/>
        <v>0</v>
      </c>
      <c r="K44" s="23">
        <v>0.0</v>
      </c>
      <c r="L44" s="23">
        <v>0.0</v>
      </c>
      <c r="M44" s="25">
        <f t="shared" si="6"/>
        <v>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6">
        <f t="shared" si="7"/>
        <v>0</v>
      </c>
      <c r="T44" s="23">
        <v>0.0</v>
      </c>
      <c r="U44" s="23">
        <v>0.0</v>
      </c>
      <c r="V44" s="23">
        <v>0.0</v>
      </c>
      <c r="W44" s="23">
        <v>0.0</v>
      </c>
      <c r="X44" s="26">
        <f t="shared" si="8"/>
        <v>0</v>
      </c>
    </row>
    <row r="45">
      <c r="A45" s="20" t="s">
        <v>66</v>
      </c>
      <c r="B45" s="27">
        <v>15.0</v>
      </c>
      <c r="C45" s="23">
        <v>1.0</v>
      </c>
      <c r="D45" s="23">
        <v>13.0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25">
        <f t="shared" si="5"/>
        <v>14</v>
      </c>
      <c r="K45" s="23">
        <v>10.0</v>
      </c>
      <c r="L45" s="23">
        <v>4.0</v>
      </c>
      <c r="M45" s="25">
        <f t="shared" si="6"/>
        <v>14</v>
      </c>
      <c r="N45" s="23">
        <v>1.0</v>
      </c>
      <c r="O45" s="23">
        <v>13.0</v>
      </c>
      <c r="P45" s="23">
        <v>0.0</v>
      </c>
      <c r="Q45" s="23">
        <v>0.0</v>
      </c>
      <c r="R45" s="23">
        <v>0.0</v>
      </c>
      <c r="S45" s="26">
        <f t="shared" si="7"/>
        <v>14</v>
      </c>
      <c r="T45" s="23">
        <v>11.0</v>
      </c>
      <c r="U45" s="23">
        <v>0.0</v>
      </c>
      <c r="V45" s="23">
        <v>2.0</v>
      </c>
      <c r="W45" s="23">
        <v>1.0</v>
      </c>
      <c r="X45" s="26">
        <f t="shared" si="8"/>
        <v>14</v>
      </c>
    </row>
    <row r="46">
      <c r="A46" s="20" t="s">
        <v>67</v>
      </c>
      <c r="B46" s="27">
        <v>1.0</v>
      </c>
      <c r="C46" s="23">
        <v>0.0</v>
      </c>
      <c r="D46" s="23">
        <v>1.0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5">
        <f t="shared" si="5"/>
        <v>1</v>
      </c>
      <c r="K46" s="23">
        <v>1.0</v>
      </c>
      <c r="L46" s="23">
        <v>0.0</v>
      </c>
      <c r="M46" s="25">
        <f t="shared" si="6"/>
        <v>1</v>
      </c>
      <c r="N46" s="23">
        <v>0.0</v>
      </c>
      <c r="O46" s="23">
        <v>1.0</v>
      </c>
      <c r="P46" s="23">
        <v>0.0</v>
      </c>
      <c r="Q46" s="23">
        <v>0.0</v>
      </c>
      <c r="R46" s="23">
        <v>0.0</v>
      </c>
      <c r="S46" s="26">
        <f t="shared" si="7"/>
        <v>1</v>
      </c>
      <c r="T46" s="23">
        <v>1.0</v>
      </c>
      <c r="U46" s="23">
        <v>0.0</v>
      </c>
      <c r="V46" s="23">
        <v>0.0</v>
      </c>
      <c r="W46" s="23">
        <v>0.0</v>
      </c>
      <c r="X46" s="26">
        <f t="shared" si="8"/>
        <v>1</v>
      </c>
    </row>
    <row r="47">
      <c r="A47" s="20" t="s">
        <v>68</v>
      </c>
      <c r="B47" s="27">
        <v>3.0</v>
      </c>
      <c r="C47" s="23">
        <v>0.0</v>
      </c>
      <c r="D47" s="23">
        <v>3.0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5">
        <f t="shared" si="5"/>
        <v>3</v>
      </c>
      <c r="K47" s="23">
        <v>1.0</v>
      </c>
      <c r="L47" s="23">
        <v>2.0</v>
      </c>
      <c r="M47" s="25">
        <f t="shared" si="6"/>
        <v>3</v>
      </c>
      <c r="N47" s="23">
        <v>2.0</v>
      </c>
      <c r="O47" s="23">
        <v>0.0</v>
      </c>
      <c r="P47" s="23">
        <v>1.0</v>
      </c>
      <c r="Q47" s="23">
        <v>0.0</v>
      </c>
      <c r="R47" s="23">
        <v>0.0</v>
      </c>
      <c r="S47" s="26">
        <f t="shared" si="7"/>
        <v>3</v>
      </c>
      <c r="T47" s="23">
        <v>1.0</v>
      </c>
      <c r="U47" s="23">
        <v>0.0</v>
      </c>
      <c r="V47" s="23">
        <v>1.0</v>
      </c>
      <c r="W47" s="23">
        <v>1.0</v>
      </c>
      <c r="X47" s="26">
        <f t="shared" si="8"/>
        <v>3</v>
      </c>
    </row>
    <row r="48">
      <c r="A48" s="20" t="s">
        <v>69</v>
      </c>
      <c r="B48" s="21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5">
        <f t="shared" si="5"/>
        <v>0</v>
      </c>
      <c r="K48" s="23">
        <v>0.0</v>
      </c>
      <c r="L48" s="23">
        <v>0.0</v>
      </c>
      <c r="M48" s="25">
        <f t="shared" si="6"/>
        <v>0</v>
      </c>
      <c r="N48" s="23">
        <v>0.0</v>
      </c>
      <c r="O48" s="24">
        <v>0.0</v>
      </c>
      <c r="P48" s="23">
        <v>0.0</v>
      </c>
      <c r="Q48" s="23">
        <v>0.0</v>
      </c>
      <c r="R48" s="23">
        <v>0.0</v>
      </c>
      <c r="S48" s="26">
        <f t="shared" si="7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8"/>
        <v>0</v>
      </c>
    </row>
    <row r="49">
      <c r="A49" s="20" t="s">
        <v>70</v>
      </c>
      <c r="B49" s="21">
        <v>6.0</v>
      </c>
      <c r="C49" s="22">
        <v>0.0</v>
      </c>
      <c r="D49" s="23">
        <v>5.0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5">
        <f t="shared" si="5"/>
        <v>5</v>
      </c>
      <c r="K49" s="23">
        <v>4.0</v>
      </c>
      <c r="L49" s="24">
        <v>1.0</v>
      </c>
      <c r="M49" s="25">
        <f t="shared" si="6"/>
        <v>5</v>
      </c>
      <c r="N49" s="23">
        <v>0.0</v>
      </c>
      <c r="O49" s="22">
        <v>4.0</v>
      </c>
      <c r="P49" s="24">
        <v>1.0</v>
      </c>
      <c r="Q49" s="23">
        <v>0.0</v>
      </c>
      <c r="R49" s="22">
        <v>0.0</v>
      </c>
      <c r="S49" s="26">
        <f t="shared" si="7"/>
        <v>5</v>
      </c>
      <c r="T49" s="23">
        <v>2.0</v>
      </c>
      <c r="U49" s="23">
        <v>0.0</v>
      </c>
      <c r="V49" s="23">
        <v>3.0</v>
      </c>
      <c r="W49" s="24">
        <v>0.0</v>
      </c>
      <c r="X49" s="26">
        <f t="shared" si="8"/>
        <v>5</v>
      </c>
    </row>
    <row r="50">
      <c r="A50" s="20" t="s">
        <v>71</v>
      </c>
      <c r="B50" s="21">
        <v>41.0</v>
      </c>
      <c r="C50" s="22">
        <v>2.0</v>
      </c>
      <c r="D50" s="23">
        <v>38.0</v>
      </c>
      <c r="E50" s="23">
        <v>0.0</v>
      </c>
      <c r="F50" s="23">
        <v>0.0</v>
      </c>
      <c r="G50" s="23">
        <v>0.0</v>
      </c>
      <c r="H50" s="23">
        <v>1.0</v>
      </c>
      <c r="I50" s="23">
        <v>0.0</v>
      </c>
      <c r="J50" s="25">
        <f t="shared" si="5"/>
        <v>41</v>
      </c>
      <c r="K50" s="23">
        <v>35.0</v>
      </c>
      <c r="L50" s="23">
        <v>6.0</v>
      </c>
      <c r="M50" s="25">
        <f t="shared" si="6"/>
        <v>41</v>
      </c>
      <c r="N50" s="23">
        <v>3.0</v>
      </c>
      <c r="O50" s="22">
        <v>34.0</v>
      </c>
      <c r="P50" s="23">
        <v>3.0</v>
      </c>
      <c r="Q50" s="23">
        <v>1.0</v>
      </c>
      <c r="R50" s="24">
        <v>0.0</v>
      </c>
      <c r="S50" s="26">
        <f t="shared" si="7"/>
        <v>41</v>
      </c>
      <c r="T50" s="23">
        <v>19.0</v>
      </c>
      <c r="U50" s="23">
        <v>0.0</v>
      </c>
      <c r="V50" s="23">
        <v>19.0</v>
      </c>
      <c r="W50" s="23">
        <v>3.0</v>
      </c>
      <c r="X50" s="26">
        <f t="shared" si="8"/>
        <v>41</v>
      </c>
    </row>
    <row r="51">
      <c r="A51" s="20" t="s">
        <v>72</v>
      </c>
      <c r="B51" s="21">
        <v>1.0</v>
      </c>
      <c r="C51" s="22">
        <v>0.0</v>
      </c>
      <c r="D51" s="22">
        <v>1.0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5">
        <f t="shared" si="5"/>
        <v>1</v>
      </c>
      <c r="K51" s="22">
        <v>1.0</v>
      </c>
      <c r="L51" s="22">
        <v>0.0</v>
      </c>
      <c r="M51" s="25">
        <f t="shared" si="6"/>
        <v>1</v>
      </c>
      <c r="N51" s="22">
        <v>0.0</v>
      </c>
      <c r="O51" s="22">
        <v>1.0</v>
      </c>
      <c r="P51" s="22">
        <v>0.0</v>
      </c>
      <c r="Q51" s="22">
        <v>0.0</v>
      </c>
      <c r="R51" s="22">
        <v>0.0</v>
      </c>
      <c r="S51" s="26">
        <f t="shared" si="7"/>
        <v>1</v>
      </c>
      <c r="T51" s="22">
        <v>0.0</v>
      </c>
      <c r="U51" s="22">
        <v>0.0</v>
      </c>
      <c r="V51" s="22">
        <v>1.0</v>
      </c>
      <c r="W51" s="22">
        <v>0.0</v>
      </c>
      <c r="X51" s="26">
        <f t="shared" si="8"/>
        <v>1</v>
      </c>
    </row>
    <row r="52">
      <c r="A52" s="20" t="s">
        <v>73</v>
      </c>
      <c r="B52" s="31">
        <v>0.0</v>
      </c>
      <c r="C52" s="31">
        <v>0.0</v>
      </c>
      <c r="D52" s="31">
        <v>0.0</v>
      </c>
      <c r="E52" s="31">
        <v>0.0</v>
      </c>
      <c r="F52" s="31">
        <v>0.0</v>
      </c>
      <c r="G52" s="31">
        <v>0.0</v>
      </c>
      <c r="H52" s="31">
        <v>0.0</v>
      </c>
      <c r="I52" s="31">
        <v>0.0</v>
      </c>
      <c r="J52" s="25">
        <f t="shared" si="5"/>
        <v>0</v>
      </c>
      <c r="K52" s="32">
        <v>0.0</v>
      </c>
      <c r="L52" s="32">
        <v>0.0</v>
      </c>
      <c r="M52" s="25">
        <f t="shared" si="6"/>
        <v>0</v>
      </c>
      <c r="N52" s="32">
        <v>0.0</v>
      </c>
      <c r="O52" s="32">
        <v>0.0</v>
      </c>
      <c r="P52" s="32">
        <v>0.0</v>
      </c>
      <c r="Q52" s="32">
        <v>0.0</v>
      </c>
      <c r="R52" s="32">
        <v>0.0</v>
      </c>
      <c r="S52" s="26">
        <f t="shared" si="7"/>
        <v>0</v>
      </c>
      <c r="T52" s="31">
        <v>0.0</v>
      </c>
      <c r="U52" s="31">
        <v>0.0</v>
      </c>
      <c r="V52" s="31">
        <v>0.0</v>
      </c>
      <c r="W52" s="31">
        <v>0.0</v>
      </c>
      <c r="X52" s="26">
        <f t="shared" si="8"/>
        <v>0</v>
      </c>
    </row>
    <row r="53">
      <c r="A53" s="20" t="s">
        <v>74</v>
      </c>
      <c r="B53" s="31">
        <v>92.0</v>
      </c>
      <c r="C53" s="31">
        <v>0.0</v>
      </c>
      <c r="D53" s="31">
        <v>92.0</v>
      </c>
      <c r="E53" s="31">
        <v>0.0</v>
      </c>
      <c r="F53" s="31">
        <v>0.0</v>
      </c>
      <c r="G53" s="31">
        <v>0.0</v>
      </c>
      <c r="H53" s="31">
        <v>0.0</v>
      </c>
      <c r="I53" s="31">
        <v>0.0</v>
      </c>
      <c r="J53" s="25">
        <f t="shared" si="5"/>
        <v>92</v>
      </c>
      <c r="K53" s="31">
        <v>92.0</v>
      </c>
      <c r="L53" s="31">
        <v>0.0</v>
      </c>
      <c r="M53" s="25">
        <f t="shared" si="6"/>
        <v>92</v>
      </c>
      <c r="N53" s="31">
        <v>62.0</v>
      </c>
      <c r="O53" s="31">
        <v>27.0</v>
      </c>
      <c r="P53" s="31">
        <v>2.0</v>
      </c>
      <c r="Q53" s="31">
        <v>0.0</v>
      </c>
      <c r="R53" s="31">
        <v>1.0</v>
      </c>
      <c r="S53" s="26">
        <f t="shared" si="7"/>
        <v>92</v>
      </c>
      <c r="T53" s="31">
        <v>16.0</v>
      </c>
      <c r="U53" s="31">
        <v>0.0</v>
      </c>
      <c r="V53" s="31">
        <v>54.0</v>
      </c>
      <c r="W53" s="31">
        <v>22.0</v>
      </c>
      <c r="X53" s="26">
        <f t="shared" si="8"/>
        <v>92</v>
      </c>
    </row>
    <row r="54">
      <c r="A54" s="20" t="s">
        <v>75</v>
      </c>
      <c r="B54" s="31"/>
      <c r="C54" s="31"/>
      <c r="D54" s="31"/>
      <c r="E54" s="31"/>
      <c r="F54" s="31"/>
      <c r="G54" s="31"/>
      <c r="H54" s="31"/>
      <c r="I54" s="31"/>
      <c r="J54" s="25"/>
      <c r="K54" s="31"/>
      <c r="L54" s="31"/>
      <c r="M54" s="25"/>
      <c r="N54" s="31"/>
      <c r="O54" s="31"/>
      <c r="P54" s="31"/>
      <c r="Q54" s="31"/>
      <c r="R54" s="31"/>
      <c r="S54" s="26"/>
      <c r="T54" s="31"/>
      <c r="U54" s="31"/>
      <c r="V54" s="31"/>
      <c r="W54" s="31"/>
      <c r="X54" s="26"/>
    </row>
    <row r="55">
      <c r="A55" s="20" t="s">
        <v>76</v>
      </c>
      <c r="B55" s="31">
        <v>0.0</v>
      </c>
      <c r="C55" s="31">
        <v>0.0</v>
      </c>
      <c r="D55" s="31">
        <v>0.0</v>
      </c>
      <c r="E55" s="31">
        <v>0.0</v>
      </c>
      <c r="F55" s="31">
        <v>0.0</v>
      </c>
      <c r="G55" s="31">
        <v>0.0</v>
      </c>
      <c r="H55" s="31">
        <v>0.0</v>
      </c>
      <c r="I55" s="31">
        <v>0.0</v>
      </c>
      <c r="J55" s="25">
        <f t="shared" ref="J55:J58" si="9">sum(C55:I55)</f>
        <v>0</v>
      </c>
      <c r="K55" s="31">
        <v>0.0</v>
      </c>
      <c r="L55" s="31">
        <v>0.0</v>
      </c>
      <c r="M55" s="25">
        <f t="shared" ref="M55:M58" si="10">sum(K55:L55)</f>
        <v>0</v>
      </c>
      <c r="N55" s="31">
        <v>0.0</v>
      </c>
      <c r="O55" s="31">
        <v>0.0</v>
      </c>
      <c r="P55" s="31">
        <v>0.0</v>
      </c>
      <c r="Q55" s="31">
        <v>0.0</v>
      </c>
      <c r="R55" s="31">
        <v>0.0</v>
      </c>
      <c r="S55" s="26">
        <f t="shared" ref="S55:S58" si="11">sum(N55:R55)</f>
        <v>0</v>
      </c>
      <c r="T55" s="31">
        <v>0.0</v>
      </c>
      <c r="U55" s="31">
        <v>0.0</v>
      </c>
      <c r="V55" s="31">
        <v>0.0</v>
      </c>
      <c r="W55" s="31">
        <v>0.0</v>
      </c>
      <c r="X55" s="26">
        <f t="shared" ref="X55:X58" si="12">sum(T55:W55)</f>
        <v>0</v>
      </c>
    </row>
    <row r="56">
      <c r="A56" s="20" t="s">
        <v>77</v>
      </c>
      <c r="B56" s="31">
        <v>5.0</v>
      </c>
      <c r="C56" s="31">
        <v>1.0</v>
      </c>
      <c r="D56" s="31">
        <v>4.0</v>
      </c>
      <c r="E56" s="31">
        <v>0.0</v>
      </c>
      <c r="F56" s="31">
        <v>0.0</v>
      </c>
      <c r="G56" s="31">
        <v>0.0</v>
      </c>
      <c r="H56" s="31">
        <v>0.0</v>
      </c>
      <c r="I56" s="31">
        <v>0.0</v>
      </c>
      <c r="J56" s="25">
        <f t="shared" si="9"/>
        <v>5</v>
      </c>
      <c r="K56" s="31">
        <v>4.0</v>
      </c>
      <c r="L56" s="31">
        <v>1.0</v>
      </c>
      <c r="M56" s="25">
        <f t="shared" si="10"/>
        <v>5</v>
      </c>
      <c r="N56" s="31">
        <v>0.0</v>
      </c>
      <c r="O56" s="31">
        <v>2.0</v>
      </c>
      <c r="P56" s="31">
        <v>0.0</v>
      </c>
      <c r="Q56" s="31">
        <v>3.0</v>
      </c>
      <c r="R56" s="31">
        <v>0.0</v>
      </c>
      <c r="S56" s="26">
        <f t="shared" si="11"/>
        <v>5</v>
      </c>
      <c r="T56" s="31">
        <v>1.0</v>
      </c>
      <c r="U56" s="31">
        <v>0.0</v>
      </c>
      <c r="V56" s="31">
        <v>0.0</v>
      </c>
      <c r="W56" s="31">
        <v>4.0</v>
      </c>
      <c r="X56" s="26">
        <f t="shared" si="12"/>
        <v>5</v>
      </c>
    </row>
    <row r="57">
      <c r="A57" s="20" t="s">
        <v>78</v>
      </c>
      <c r="B57" s="34">
        <v>16.0</v>
      </c>
      <c r="C57" s="31">
        <v>2.0</v>
      </c>
      <c r="D57" s="31">
        <v>14.0</v>
      </c>
      <c r="E57" s="31">
        <v>0.0</v>
      </c>
      <c r="F57" s="31">
        <v>0.0</v>
      </c>
      <c r="G57" s="31">
        <v>0.0</v>
      </c>
      <c r="H57" s="31">
        <v>0.0</v>
      </c>
      <c r="I57" s="31">
        <v>0.0</v>
      </c>
      <c r="J57" s="25">
        <f t="shared" si="9"/>
        <v>16</v>
      </c>
      <c r="K57" s="31">
        <v>10.0</v>
      </c>
      <c r="L57" s="31">
        <v>6.0</v>
      </c>
      <c r="M57" s="25">
        <f t="shared" si="10"/>
        <v>16</v>
      </c>
      <c r="N57" s="31">
        <v>2.0</v>
      </c>
      <c r="O57" s="31">
        <v>9.0</v>
      </c>
      <c r="P57" s="31">
        <v>5.0</v>
      </c>
      <c r="Q57" s="31">
        <v>0.0</v>
      </c>
      <c r="R57" s="31">
        <v>0.0</v>
      </c>
      <c r="S57" s="26">
        <f t="shared" si="11"/>
        <v>16</v>
      </c>
      <c r="T57" s="31">
        <v>9.0</v>
      </c>
      <c r="U57" s="31">
        <v>0.0</v>
      </c>
      <c r="V57" s="31">
        <v>6.0</v>
      </c>
      <c r="W57" s="31">
        <v>1.0</v>
      </c>
      <c r="X57" s="26">
        <f t="shared" si="12"/>
        <v>16</v>
      </c>
    </row>
    <row r="58">
      <c r="A58" s="20" t="s">
        <v>79</v>
      </c>
      <c r="B58" s="31">
        <v>1.0</v>
      </c>
      <c r="C58" s="31">
        <v>0.0</v>
      </c>
      <c r="D58" s="31">
        <v>1.0</v>
      </c>
      <c r="E58" s="31">
        <v>0.0</v>
      </c>
      <c r="F58" s="31">
        <v>0.0</v>
      </c>
      <c r="G58" s="31">
        <v>0.0</v>
      </c>
      <c r="H58" s="31">
        <v>0.0</v>
      </c>
      <c r="I58" s="31">
        <v>0.0</v>
      </c>
      <c r="J58" s="25">
        <f t="shared" si="9"/>
        <v>1</v>
      </c>
      <c r="K58" s="31">
        <v>1.0</v>
      </c>
      <c r="L58" s="31">
        <v>0.0</v>
      </c>
      <c r="M58" s="25">
        <f t="shared" si="10"/>
        <v>1</v>
      </c>
      <c r="N58" s="31">
        <v>0.0</v>
      </c>
      <c r="O58" s="31">
        <v>0.0</v>
      </c>
      <c r="P58" s="31">
        <v>1.0</v>
      </c>
      <c r="Q58" s="31">
        <v>0.0</v>
      </c>
      <c r="R58" s="31">
        <v>0.0</v>
      </c>
      <c r="S58" s="26">
        <f t="shared" si="11"/>
        <v>1</v>
      </c>
      <c r="T58" s="31">
        <v>0.0</v>
      </c>
      <c r="U58" s="31">
        <v>0.0</v>
      </c>
      <c r="V58" s="31">
        <v>1.0</v>
      </c>
      <c r="W58" s="31">
        <v>0.0</v>
      </c>
      <c r="X58" s="26">
        <f t="shared" si="12"/>
        <v>1</v>
      </c>
    </row>
    <row r="59">
      <c r="A59" s="20" t="s">
        <v>80</v>
      </c>
      <c r="B59" s="31"/>
      <c r="C59" s="31"/>
      <c r="D59" s="31"/>
      <c r="E59" s="31"/>
      <c r="F59" s="31"/>
      <c r="G59" s="31"/>
      <c r="H59" s="31"/>
      <c r="I59" s="31"/>
      <c r="J59" s="25"/>
      <c r="K59" s="31"/>
      <c r="L59" s="31"/>
      <c r="M59" s="25"/>
      <c r="N59" s="31"/>
      <c r="O59" s="31"/>
      <c r="P59" s="31"/>
      <c r="Q59" s="31"/>
      <c r="R59" s="31"/>
      <c r="S59" s="26"/>
      <c r="T59" s="31"/>
      <c r="U59" s="31"/>
      <c r="V59" s="31"/>
      <c r="W59" s="31"/>
      <c r="X59" s="26"/>
    </row>
    <row r="60">
      <c r="A60" s="20" t="s">
        <v>81</v>
      </c>
      <c r="B60" s="31">
        <v>0.0</v>
      </c>
      <c r="C60" s="31">
        <v>0.0</v>
      </c>
      <c r="D60" s="31">
        <v>0.0</v>
      </c>
      <c r="E60" s="31">
        <v>0.0</v>
      </c>
      <c r="F60" s="31">
        <v>0.0</v>
      </c>
      <c r="G60" s="31">
        <v>0.0</v>
      </c>
      <c r="H60" s="31">
        <v>0.0</v>
      </c>
      <c r="I60" s="31">
        <v>0.0</v>
      </c>
      <c r="J60" s="25">
        <f t="shared" ref="J60:J65" si="13">sum(C60:I60)</f>
        <v>0</v>
      </c>
      <c r="K60" s="31">
        <v>0.0</v>
      </c>
      <c r="L60" s="31">
        <v>0.0</v>
      </c>
      <c r="M60" s="25">
        <f t="shared" ref="M60:M65" si="14">sum(K60:L60)</f>
        <v>0</v>
      </c>
      <c r="N60" s="31">
        <v>0.0</v>
      </c>
      <c r="O60" s="31">
        <v>0.0</v>
      </c>
      <c r="P60" s="31">
        <v>0.0</v>
      </c>
      <c r="Q60" s="31">
        <v>0.0</v>
      </c>
      <c r="R60" s="31">
        <v>0.0</v>
      </c>
      <c r="S60" s="26">
        <f t="shared" ref="S60:S65" si="15">sum(N60:R60)</f>
        <v>0</v>
      </c>
      <c r="T60" s="31">
        <v>0.0</v>
      </c>
      <c r="U60" s="31">
        <v>0.0</v>
      </c>
      <c r="V60" s="31">
        <v>0.0</v>
      </c>
      <c r="W60" s="31">
        <v>0.0</v>
      </c>
      <c r="X60" s="26">
        <f t="shared" ref="X60:X64" si="16">sum(T60:W60)</f>
        <v>0</v>
      </c>
    </row>
    <row r="61">
      <c r="A61" s="20" t="s">
        <v>82</v>
      </c>
      <c r="B61" s="31">
        <v>4.0</v>
      </c>
      <c r="C61" s="31">
        <v>1.0</v>
      </c>
      <c r="D61" s="31">
        <v>3.0</v>
      </c>
      <c r="E61" s="31">
        <v>0.0</v>
      </c>
      <c r="F61" s="31">
        <v>0.0</v>
      </c>
      <c r="G61" s="31">
        <v>0.0</v>
      </c>
      <c r="H61" s="31">
        <v>0.0</v>
      </c>
      <c r="I61" s="31">
        <v>0.0</v>
      </c>
      <c r="J61" s="25">
        <f t="shared" si="13"/>
        <v>4</v>
      </c>
      <c r="K61" s="31">
        <v>3.0</v>
      </c>
      <c r="L61" s="31">
        <v>1.0</v>
      </c>
      <c r="M61" s="25">
        <f t="shared" si="14"/>
        <v>4</v>
      </c>
      <c r="N61" s="31">
        <v>0.0</v>
      </c>
      <c r="O61" s="31">
        <v>4.0</v>
      </c>
      <c r="P61" s="31">
        <v>0.0</v>
      </c>
      <c r="Q61" s="31">
        <v>0.0</v>
      </c>
      <c r="R61" s="31">
        <v>0.0</v>
      </c>
      <c r="S61" s="26">
        <f t="shared" si="15"/>
        <v>4</v>
      </c>
      <c r="T61" s="31">
        <v>2.0</v>
      </c>
      <c r="U61" s="31">
        <v>0.0</v>
      </c>
      <c r="V61" s="31">
        <v>1.0</v>
      </c>
      <c r="W61" s="31">
        <v>1.0</v>
      </c>
      <c r="X61" s="26">
        <f t="shared" si="16"/>
        <v>4</v>
      </c>
    </row>
    <row r="62">
      <c r="A62" s="20" t="s">
        <v>83</v>
      </c>
      <c r="B62" s="31">
        <v>1.0</v>
      </c>
      <c r="C62" s="31">
        <v>0.0</v>
      </c>
      <c r="D62" s="31">
        <v>1.0</v>
      </c>
      <c r="E62" s="31">
        <v>0.0</v>
      </c>
      <c r="F62" s="31">
        <v>0.0</v>
      </c>
      <c r="G62" s="31">
        <v>0.0</v>
      </c>
      <c r="H62" s="31">
        <v>0.0</v>
      </c>
      <c r="I62" s="31">
        <v>0.0</v>
      </c>
      <c r="J62" s="25">
        <f t="shared" si="13"/>
        <v>1</v>
      </c>
      <c r="K62" s="31">
        <v>1.0</v>
      </c>
      <c r="L62" s="31">
        <v>0.0</v>
      </c>
      <c r="M62" s="25">
        <f t="shared" si="14"/>
        <v>1</v>
      </c>
      <c r="N62" s="31">
        <v>0.0</v>
      </c>
      <c r="O62" s="31">
        <v>1.0</v>
      </c>
      <c r="P62" s="31">
        <v>0.0</v>
      </c>
      <c r="Q62" s="31">
        <v>0.0</v>
      </c>
      <c r="R62" s="31">
        <v>0.0</v>
      </c>
      <c r="S62" s="26">
        <f t="shared" si="15"/>
        <v>1</v>
      </c>
      <c r="T62" s="31">
        <v>1.0</v>
      </c>
      <c r="U62" s="31">
        <v>0.0</v>
      </c>
      <c r="V62" s="31">
        <v>0.0</v>
      </c>
      <c r="W62" s="31">
        <v>0.0</v>
      </c>
      <c r="X62" s="26">
        <f t="shared" si="16"/>
        <v>1</v>
      </c>
    </row>
    <row r="63">
      <c r="A63" s="20" t="s">
        <v>84</v>
      </c>
      <c r="B63" s="31">
        <v>0.0</v>
      </c>
      <c r="C63" s="31">
        <v>0.0</v>
      </c>
      <c r="D63" s="31">
        <v>0.0</v>
      </c>
      <c r="E63" s="31">
        <v>0.0</v>
      </c>
      <c r="F63" s="31">
        <v>0.0</v>
      </c>
      <c r="G63" s="31">
        <v>0.0</v>
      </c>
      <c r="H63" s="31">
        <v>0.0</v>
      </c>
      <c r="I63" s="31">
        <v>0.0</v>
      </c>
      <c r="J63" s="25">
        <f t="shared" si="13"/>
        <v>0</v>
      </c>
      <c r="K63" s="31">
        <v>0.0</v>
      </c>
      <c r="L63" s="31">
        <v>0.0</v>
      </c>
      <c r="M63" s="25">
        <f t="shared" si="14"/>
        <v>0</v>
      </c>
      <c r="N63" s="31">
        <v>0.0</v>
      </c>
      <c r="O63" s="31">
        <v>0.0</v>
      </c>
      <c r="P63" s="31">
        <v>0.0</v>
      </c>
      <c r="Q63" s="31">
        <v>0.0</v>
      </c>
      <c r="R63" s="31">
        <v>0.0</v>
      </c>
      <c r="S63" s="26">
        <f t="shared" si="15"/>
        <v>0</v>
      </c>
      <c r="T63" s="31">
        <v>0.0</v>
      </c>
      <c r="U63" s="31">
        <v>0.0</v>
      </c>
      <c r="V63" s="31">
        <v>0.0</v>
      </c>
      <c r="W63" s="31">
        <v>0.0</v>
      </c>
      <c r="X63" s="26">
        <f t="shared" si="16"/>
        <v>0</v>
      </c>
    </row>
    <row r="64">
      <c r="A64" s="20" t="s">
        <v>85</v>
      </c>
      <c r="B64" s="31">
        <v>3.0</v>
      </c>
      <c r="C64" s="31">
        <v>0.0</v>
      </c>
      <c r="D64" s="31">
        <v>3.0</v>
      </c>
      <c r="E64" s="31">
        <v>0.0</v>
      </c>
      <c r="F64" s="31">
        <v>0.0</v>
      </c>
      <c r="G64" s="31">
        <v>0.0</v>
      </c>
      <c r="H64" s="31">
        <v>0.0</v>
      </c>
      <c r="I64" s="31">
        <v>0.0</v>
      </c>
      <c r="J64" s="25">
        <f t="shared" si="13"/>
        <v>3</v>
      </c>
      <c r="K64" s="31">
        <v>3.0</v>
      </c>
      <c r="L64" s="31">
        <v>0.0</v>
      </c>
      <c r="M64" s="25">
        <f t="shared" si="14"/>
        <v>3</v>
      </c>
      <c r="N64" s="31">
        <v>0.0</v>
      </c>
      <c r="O64" s="31">
        <v>2.0</v>
      </c>
      <c r="P64" s="31">
        <v>0.0</v>
      </c>
      <c r="Q64" s="31">
        <v>1.0</v>
      </c>
      <c r="R64" s="31">
        <v>0.0</v>
      </c>
      <c r="S64" s="26">
        <f t="shared" si="15"/>
        <v>3</v>
      </c>
      <c r="T64" s="31">
        <v>1.0</v>
      </c>
      <c r="U64" s="31">
        <v>0.0</v>
      </c>
      <c r="V64" s="31">
        <v>1.0</v>
      </c>
      <c r="W64" s="31">
        <v>1.0</v>
      </c>
      <c r="X64" s="26">
        <f t="shared" si="16"/>
        <v>3</v>
      </c>
    </row>
    <row r="65">
      <c r="A65" s="20" t="s">
        <v>86</v>
      </c>
      <c r="B65" s="31">
        <v>0.0</v>
      </c>
      <c r="C65" s="31">
        <v>0.0</v>
      </c>
      <c r="D65" s="31">
        <v>0.0</v>
      </c>
      <c r="E65" s="31">
        <v>0.0</v>
      </c>
      <c r="F65" s="31">
        <v>0.0</v>
      </c>
      <c r="G65" s="31">
        <v>0.0</v>
      </c>
      <c r="H65" s="31">
        <v>0.0</v>
      </c>
      <c r="I65" s="31">
        <v>0.0</v>
      </c>
      <c r="J65" s="25">
        <f t="shared" si="13"/>
        <v>0</v>
      </c>
      <c r="K65" s="31">
        <v>0.0</v>
      </c>
      <c r="L65" s="31">
        <v>0.0</v>
      </c>
      <c r="M65" s="25">
        <f t="shared" si="14"/>
        <v>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26">
        <f t="shared" si="15"/>
        <v>0</v>
      </c>
      <c r="T65" s="31">
        <v>0.0</v>
      </c>
      <c r="U65" s="31">
        <v>0.0</v>
      </c>
      <c r="V65" s="31">
        <v>0.0</v>
      </c>
      <c r="W65" s="31">
        <v>0.0</v>
      </c>
      <c r="X65" s="24">
        <v>0.0</v>
      </c>
    </row>
    <row r="66">
      <c r="A66" s="31" t="s">
        <v>13</v>
      </c>
      <c r="B66" s="35">
        <f t="shared" ref="B66:R66" si="17">SUM(B4:B65)</f>
        <v>634</v>
      </c>
      <c r="C66" s="35">
        <f t="shared" si="17"/>
        <v>18</v>
      </c>
      <c r="D66" s="35">
        <f t="shared" si="17"/>
        <v>606</v>
      </c>
      <c r="E66" s="35">
        <f t="shared" si="17"/>
        <v>1</v>
      </c>
      <c r="F66" s="35">
        <f t="shared" si="17"/>
        <v>0</v>
      </c>
      <c r="G66" s="35">
        <f t="shared" si="17"/>
        <v>0</v>
      </c>
      <c r="H66" s="35">
        <f t="shared" si="17"/>
        <v>2</v>
      </c>
      <c r="I66" s="35">
        <f t="shared" si="17"/>
        <v>5</v>
      </c>
      <c r="J66" s="35">
        <f t="shared" si="17"/>
        <v>632</v>
      </c>
      <c r="K66" s="35">
        <f t="shared" si="17"/>
        <v>580</v>
      </c>
      <c r="L66" s="35">
        <f t="shared" si="17"/>
        <v>52</v>
      </c>
      <c r="M66" s="35">
        <f t="shared" si="17"/>
        <v>632</v>
      </c>
      <c r="N66" s="35">
        <f t="shared" si="17"/>
        <v>198</v>
      </c>
      <c r="O66" s="35">
        <f t="shared" si="17"/>
        <v>314</v>
      </c>
      <c r="P66" s="35">
        <f t="shared" si="17"/>
        <v>103</v>
      </c>
      <c r="Q66" s="35">
        <f t="shared" si="17"/>
        <v>14</v>
      </c>
      <c r="R66" s="35">
        <f t="shared" si="17"/>
        <v>3</v>
      </c>
      <c r="S66" s="26">
        <f>sum(S4:S65)</f>
        <v>632</v>
      </c>
      <c r="T66" s="35">
        <f t="shared" ref="T66:X66" si="18">SUM(T4:T65)</f>
        <v>367</v>
      </c>
      <c r="U66" s="35">
        <f t="shared" si="18"/>
        <v>17</v>
      </c>
      <c r="V66" s="35">
        <f t="shared" si="18"/>
        <v>172</v>
      </c>
      <c r="W66" s="35">
        <f t="shared" si="18"/>
        <v>76</v>
      </c>
      <c r="X66" s="35">
        <f t="shared" si="18"/>
        <v>632</v>
      </c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42.0</v>
      </c>
      <c r="C4" s="22">
        <v>0.0</v>
      </c>
      <c r="D4" s="23">
        <v>40.0</v>
      </c>
      <c r="E4" s="23">
        <v>0.0</v>
      </c>
      <c r="F4" s="23">
        <v>0.0</v>
      </c>
      <c r="G4" s="24">
        <v>0.0</v>
      </c>
      <c r="H4" s="22">
        <v>0.0</v>
      </c>
      <c r="I4" s="23">
        <v>2.0</v>
      </c>
      <c r="J4" s="25">
        <f t="shared" ref="J4:J38" si="1">sum(C4:I4)</f>
        <v>42</v>
      </c>
      <c r="K4" s="23">
        <v>27.0</v>
      </c>
      <c r="L4" s="23">
        <v>15.0</v>
      </c>
      <c r="M4" s="25">
        <f t="shared" ref="M4:M38" si="2">sum(K4:L4)</f>
        <v>42</v>
      </c>
      <c r="N4" s="23">
        <v>16.0</v>
      </c>
      <c r="O4" s="22">
        <v>17.0</v>
      </c>
      <c r="P4" s="23">
        <v>6.0</v>
      </c>
      <c r="Q4" s="22">
        <v>1.0</v>
      </c>
      <c r="R4" s="22">
        <v>2.0</v>
      </c>
      <c r="S4" s="26">
        <f t="shared" ref="S4:S38" si="3">sum(N4:R4)</f>
        <v>42</v>
      </c>
      <c r="T4" s="23">
        <v>31.0</v>
      </c>
      <c r="U4" s="23">
        <v>2.0</v>
      </c>
      <c r="V4" s="23">
        <v>7.0</v>
      </c>
      <c r="W4" s="23">
        <v>2.0</v>
      </c>
      <c r="X4" s="26">
        <f t="shared" ref="X4:X38" si="4">sum(T4:W4)</f>
        <v>42</v>
      </c>
    </row>
    <row r="5">
      <c r="A5" s="20" t="s">
        <v>26</v>
      </c>
      <c r="B5" s="21">
        <v>0.0</v>
      </c>
      <c r="C5" s="22">
        <v>0.0</v>
      </c>
      <c r="D5" s="23">
        <v>0.0</v>
      </c>
      <c r="E5" s="24">
        <v>0.0</v>
      </c>
      <c r="F5" s="23">
        <v>0.0</v>
      </c>
      <c r="G5" s="23">
        <v>0.0</v>
      </c>
      <c r="H5" s="22">
        <v>0.0</v>
      </c>
      <c r="I5" s="23">
        <v>0.0</v>
      </c>
      <c r="J5" s="25">
        <f t="shared" si="1"/>
        <v>0</v>
      </c>
      <c r="K5" s="23">
        <v>0.0</v>
      </c>
      <c r="L5" s="23">
        <v>0.0</v>
      </c>
      <c r="M5" s="25">
        <f t="shared" si="2"/>
        <v>0</v>
      </c>
      <c r="N5" s="23">
        <v>0.0</v>
      </c>
      <c r="O5" s="22">
        <v>0.0</v>
      </c>
      <c r="P5" s="23">
        <v>0.0</v>
      </c>
      <c r="Q5" s="23">
        <v>0.0</v>
      </c>
      <c r="R5" s="23">
        <v>0.0</v>
      </c>
      <c r="S5" s="26">
        <f t="shared" si="3"/>
        <v>0</v>
      </c>
      <c r="T5" s="23">
        <v>0.0</v>
      </c>
      <c r="U5" s="24">
        <v>0.0</v>
      </c>
      <c r="V5" s="23">
        <v>0.0</v>
      </c>
      <c r="W5" s="23">
        <v>0.0</v>
      </c>
      <c r="X5" s="26">
        <f t="shared" si="4"/>
        <v>0</v>
      </c>
    </row>
    <row r="6">
      <c r="A6" s="20" t="s">
        <v>27</v>
      </c>
      <c r="B6" s="21">
        <v>0.0</v>
      </c>
      <c r="C6" s="22">
        <v>0.0</v>
      </c>
      <c r="D6" s="23">
        <v>0.0</v>
      </c>
      <c r="E6" s="24">
        <v>0.0</v>
      </c>
      <c r="F6" s="23">
        <v>0.0</v>
      </c>
      <c r="G6" s="23">
        <v>0.0</v>
      </c>
      <c r="H6" s="22">
        <v>0.0</v>
      </c>
      <c r="I6" s="23">
        <v>0.0</v>
      </c>
      <c r="J6" s="25">
        <f t="shared" si="1"/>
        <v>0</v>
      </c>
      <c r="K6" s="23">
        <v>0.0</v>
      </c>
      <c r="L6" s="23">
        <v>0.0</v>
      </c>
      <c r="M6" s="25">
        <f t="shared" si="2"/>
        <v>0</v>
      </c>
      <c r="N6" s="23">
        <v>0.0</v>
      </c>
      <c r="O6" s="22">
        <v>0.0</v>
      </c>
      <c r="P6" s="23">
        <v>0.0</v>
      </c>
      <c r="Q6" s="23">
        <v>0.0</v>
      </c>
      <c r="R6" s="23">
        <v>0.0</v>
      </c>
      <c r="S6" s="26">
        <f t="shared" si="3"/>
        <v>0</v>
      </c>
      <c r="T6" s="23">
        <v>0.0</v>
      </c>
      <c r="U6" s="24">
        <v>0.0</v>
      </c>
      <c r="V6" s="23">
        <v>0.0</v>
      </c>
      <c r="W6" s="23">
        <v>0.0</v>
      </c>
      <c r="X6" s="26">
        <f t="shared" si="4"/>
        <v>0</v>
      </c>
    </row>
    <row r="7">
      <c r="A7" s="20" t="s">
        <v>28</v>
      </c>
      <c r="B7" s="21">
        <v>4.0</v>
      </c>
      <c r="C7" s="23">
        <v>0.0</v>
      </c>
      <c r="D7" s="23">
        <v>4.0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5">
        <f t="shared" si="1"/>
        <v>4</v>
      </c>
      <c r="K7" s="23">
        <v>4.0</v>
      </c>
      <c r="L7" s="23">
        <v>0.0</v>
      </c>
      <c r="M7" s="25">
        <f t="shared" si="2"/>
        <v>4</v>
      </c>
      <c r="N7" s="23">
        <v>0.0</v>
      </c>
      <c r="O7" s="22">
        <v>0.0</v>
      </c>
      <c r="P7" s="23">
        <v>3.0</v>
      </c>
      <c r="Q7" s="23">
        <v>1.0</v>
      </c>
      <c r="R7" s="23">
        <v>0.0</v>
      </c>
      <c r="S7" s="26">
        <f t="shared" si="3"/>
        <v>4</v>
      </c>
      <c r="T7" s="23">
        <v>3.0</v>
      </c>
      <c r="U7" s="23">
        <v>0.0</v>
      </c>
      <c r="V7" s="23">
        <v>0.0</v>
      </c>
      <c r="W7" s="23">
        <v>1.0</v>
      </c>
      <c r="X7" s="26">
        <f t="shared" si="4"/>
        <v>4</v>
      </c>
    </row>
    <row r="8">
      <c r="A8" s="20" t="s">
        <v>29</v>
      </c>
      <c r="B8" s="21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5">
        <f t="shared" si="1"/>
        <v>0</v>
      </c>
      <c r="K8" s="23">
        <v>0.0</v>
      </c>
      <c r="L8" s="23">
        <v>0.0</v>
      </c>
      <c r="M8" s="25">
        <f t="shared" si="2"/>
        <v>0</v>
      </c>
      <c r="N8" s="23">
        <v>0.0</v>
      </c>
      <c r="O8" s="22">
        <v>0.0</v>
      </c>
      <c r="P8" s="23">
        <v>0.0</v>
      </c>
      <c r="Q8" s="23">
        <v>0.0</v>
      </c>
      <c r="R8" s="23">
        <v>0.0</v>
      </c>
      <c r="S8" s="26">
        <f t="shared" si="3"/>
        <v>0</v>
      </c>
      <c r="T8" s="23">
        <v>0.0</v>
      </c>
      <c r="U8" s="23">
        <v>0.0</v>
      </c>
      <c r="V8" s="23">
        <v>0.0</v>
      </c>
      <c r="W8" s="23">
        <v>0.0</v>
      </c>
      <c r="X8" s="26">
        <f t="shared" si="4"/>
        <v>0</v>
      </c>
    </row>
    <row r="9">
      <c r="A9" s="20" t="s">
        <v>30</v>
      </c>
      <c r="B9" s="21">
        <v>2.0</v>
      </c>
      <c r="C9" s="23">
        <v>0.0</v>
      </c>
      <c r="D9" s="23">
        <v>2.0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5">
        <f t="shared" si="1"/>
        <v>2</v>
      </c>
      <c r="K9" s="23">
        <v>2.0</v>
      </c>
      <c r="L9" s="23">
        <v>0.0</v>
      </c>
      <c r="M9" s="25">
        <f t="shared" si="2"/>
        <v>2</v>
      </c>
      <c r="N9" s="23">
        <v>0.0</v>
      </c>
      <c r="O9" s="22">
        <v>1.0</v>
      </c>
      <c r="P9" s="23">
        <v>1.0</v>
      </c>
      <c r="Q9" s="23">
        <v>0.0</v>
      </c>
      <c r="R9" s="23">
        <v>0.0</v>
      </c>
      <c r="S9" s="26">
        <f t="shared" si="3"/>
        <v>2</v>
      </c>
      <c r="T9" s="23">
        <v>0.0</v>
      </c>
      <c r="U9" s="23">
        <v>0.0</v>
      </c>
      <c r="V9" s="23">
        <v>1.0</v>
      </c>
      <c r="W9" s="23">
        <v>1.0</v>
      </c>
      <c r="X9" s="26">
        <f t="shared" si="4"/>
        <v>2</v>
      </c>
    </row>
    <row r="10">
      <c r="A10" s="20" t="s">
        <v>31</v>
      </c>
      <c r="B10" s="21">
        <v>1.0</v>
      </c>
      <c r="C10" s="23">
        <v>0.0</v>
      </c>
      <c r="D10" s="23">
        <v>1.0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5">
        <f t="shared" si="1"/>
        <v>1</v>
      </c>
      <c r="K10" s="23">
        <v>0.0</v>
      </c>
      <c r="L10" s="23">
        <v>1.0</v>
      </c>
      <c r="M10" s="25">
        <f t="shared" si="2"/>
        <v>1</v>
      </c>
      <c r="N10" s="23">
        <v>0.0</v>
      </c>
      <c r="O10" s="22">
        <v>1.0</v>
      </c>
      <c r="P10" s="23">
        <v>0.0</v>
      </c>
      <c r="Q10" s="23">
        <v>0.0</v>
      </c>
      <c r="R10" s="23">
        <v>0.0</v>
      </c>
      <c r="S10" s="26">
        <f t="shared" si="3"/>
        <v>1</v>
      </c>
      <c r="T10" s="23">
        <v>0.0</v>
      </c>
      <c r="U10" s="23">
        <v>0.0</v>
      </c>
      <c r="V10" s="23">
        <v>1.0</v>
      </c>
      <c r="W10" s="23">
        <v>0.0</v>
      </c>
      <c r="X10" s="26">
        <f t="shared" si="4"/>
        <v>1</v>
      </c>
    </row>
    <row r="11">
      <c r="A11" s="20" t="s">
        <v>32</v>
      </c>
      <c r="B11" s="21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2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30.0</v>
      </c>
      <c r="C12" s="23">
        <v>1.0</v>
      </c>
      <c r="D12" s="23">
        <v>27.0</v>
      </c>
      <c r="E12" s="23">
        <v>0.0</v>
      </c>
      <c r="F12" s="23">
        <v>0.0</v>
      </c>
      <c r="G12" s="23">
        <v>0.0</v>
      </c>
      <c r="H12" s="23">
        <v>2.0</v>
      </c>
      <c r="I12" s="23">
        <v>0.0</v>
      </c>
      <c r="J12" s="25">
        <f t="shared" si="1"/>
        <v>30</v>
      </c>
      <c r="K12" s="23">
        <v>30.0</v>
      </c>
      <c r="L12" s="23">
        <v>0.0</v>
      </c>
      <c r="M12" s="25">
        <f t="shared" si="2"/>
        <v>30</v>
      </c>
      <c r="N12" s="23">
        <v>10.0</v>
      </c>
      <c r="O12" s="22">
        <v>6.0</v>
      </c>
      <c r="P12" s="23">
        <v>13.0</v>
      </c>
      <c r="Q12" s="23">
        <v>1.0</v>
      </c>
      <c r="R12" s="23">
        <v>0.0</v>
      </c>
      <c r="S12" s="26">
        <f t="shared" si="3"/>
        <v>30</v>
      </c>
      <c r="T12" s="23">
        <v>22.0</v>
      </c>
      <c r="U12" s="23">
        <v>0.0</v>
      </c>
      <c r="V12" s="23">
        <v>7.0</v>
      </c>
      <c r="W12" s="23">
        <v>1.0</v>
      </c>
      <c r="X12" s="26">
        <f t="shared" si="4"/>
        <v>30</v>
      </c>
    </row>
    <row r="13">
      <c r="A13" s="20" t="s">
        <v>34</v>
      </c>
      <c r="B13" s="21">
        <v>11.0</v>
      </c>
      <c r="C13" s="23">
        <v>0.0</v>
      </c>
      <c r="D13" s="23">
        <v>11.0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25">
        <f t="shared" si="1"/>
        <v>11</v>
      </c>
      <c r="K13" s="23">
        <v>10.0</v>
      </c>
      <c r="L13" s="23">
        <v>1.0</v>
      </c>
      <c r="M13" s="25">
        <f t="shared" si="2"/>
        <v>11</v>
      </c>
      <c r="N13" s="23">
        <v>1.0</v>
      </c>
      <c r="O13" s="22">
        <v>5.0</v>
      </c>
      <c r="P13" s="24">
        <v>5.0</v>
      </c>
      <c r="Q13" s="22">
        <v>0.0</v>
      </c>
      <c r="R13" s="23">
        <v>0.0</v>
      </c>
      <c r="S13" s="26">
        <f t="shared" si="3"/>
        <v>11</v>
      </c>
      <c r="T13" s="23">
        <v>5.0</v>
      </c>
      <c r="U13" s="23">
        <v>0.0</v>
      </c>
      <c r="V13" s="23">
        <v>4.0</v>
      </c>
      <c r="W13" s="24">
        <v>2.0</v>
      </c>
      <c r="X13" s="26">
        <f t="shared" si="4"/>
        <v>11</v>
      </c>
    </row>
    <row r="14">
      <c r="A14" s="20" t="s">
        <v>35</v>
      </c>
      <c r="B14" s="27">
        <v>12.0</v>
      </c>
      <c r="C14" s="23">
        <v>0.0</v>
      </c>
      <c r="D14" s="23">
        <v>12.0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5">
        <f t="shared" si="1"/>
        <v>12</v>
      </c>
      <c r="K14" s="23">
        <v>12.0</v>
      </c>
      <c r="L14" s="23">
        <v>0.0</v>
      </c>
      <c r="M14" s="25">
        <f t="shared" si="2"/>
        <v>12</v>
      </c>
      <c r="N14" s="23">
        <v>7.0</v>
      </c>
      <c r="O14" s="23">
        <v>2.0</v>
      </c>
      <c r="P14" s="23">
        <v>3.0</v>
      </c>
      <c r="Q14" s="23">
        <v>0.0</v>
      </c>
      <c r="R14" s="23">
        <v>0.0</v>
      </c>
      <c r="S14" s="26">
        <f t="shared" si="3"/>
        <v>12</v>
      </c>
      <c r="T14" s="23">
        <v>11.0</v>
      </c>
      <c r="U14" s="23">
        <v>0.0</v>
      </c>
      <c r="V14" s="23">
        <v>0.0</v>
      </c>
      <c r="W14" s="23">
        <v>1.0</v>
      </c>
      <c r="X14" s="26">
        <f t="shared" si="4"/>
        <v>12</v>
      </c>
    </row>
    <row r="15">
      <c r="A15" s="20" t="s">
        <v>36</v>
      </c>
      <c r="B15" s="21">
        <v>2.0</v>
      </c>
      <c r="C15" s="23">
        <v>0.0</v>
      </c>
      <c r="D15" s="23">
        <v>2.0</v>
      </c>
      <c r="E15" s="23">
        <v>0.0</v>
      </c>
      <c r="F15" s="23">
        <v>0.0</v>
      </c>
      <c r="G15" s="22">
        <v>0.0</v>
      </c>
      <c r="H15" s="22">
        <v>0.0</v>
      </c>
      <c r="I15" s="23">
        <v>0.0</v>
      </c>
      <c r="J15" s="25">
        <f t="shared" si="1"/>
        <v>2</v>
      </c>
      <c r="K15" s="23">
        <v>2.0</v>
      </c>
      <c r="L15" s="24">
        <v>0.0</v>
      </c>
      <c r="M15" s="25">
        <f t="shared" si="2"/>
        <v>2</v>
      </c>
      <c r="N15" s="23">
        <v>0.0</v>
      </c>
      <c r="O15" s="22">
        <v>1.0</v>
      </c>
      <c r="P15" s="24">
        <v>1.0</v>
      </c>
      <c r="Q15" s="24">
        <v>0.0</v>
      </c>
      <c r="R15" s="24">
        <v>0.0</v>
      </c>
      <c r="S15" s="26">
        <f t="shared" si="3"/>
        <v>2</v>
      </c>
      <c r="T15" s="23">
        <v>2.0</v>
      </c>
      <c r="U15" s="23">
        <v>0.0</v>
      </c>
      <c r="V15" s="24">
        <v>0.0</v>
      </c>
      <c r="W15" s="23">
        <v>0.0</v>
      </c>
      <c r="X15" s="26">
        <f t="shared" si="4"/>
        <v>2</v>
      </c>
    </row>
    <row r="16">
      <c r="A16" s="20" t="s">
        <v>37</v>
      </c>
      <c r="B16" s="21">
        <v>29.0</v>
      </c>
      <c r="C16" s="23">
        <v>0.0</v>
      </c>
      <c r="D16" s="23">
        <v>29.0</v>
      </c>
      <c r="E16" s="23">
        <v>0.0</v>
      </c>
      <c r="F16" s="23">
        <v>0.0</v>
      </c>
      <c r="G16" s="22">
        <v>0.0</v>
      </c>
      <c r="H16" s="22">
        <v>0.0</v>
      </c>
      <c r="I16" s="23">
        <v>0.0</v>
      </c>
      <c r="J16" s="25">
        <f t="shared" si="1"/>
        <v>29</v>
      </c>
      <c r="K16" s="23">
        <v>29.0</v>
      </c>
      <c r="L16" s="24">
        <v>0.0</v>
      </c>
      <c r="M16" s="25">
        <f t="shared" si="2"/>
        <v>29</v>
      </c>
      <c r="N16" s="23">
        <v>5.0</v>
      </c>
      <c r="O16" s="22">
        <v>3.0</v>
      </c>
      <c r="P16" s="24">
        <v>21.0</v>
      </c>
      <c r="Q16" s="24">
        <v>0.0</v>
      </c>
      <c r="R16" s="24">
        <v>0.0</v>
      </c>
      <c r="S16" s="26">
        <f t="shared" si="3"/>
        <v>29</v>
      </c>
      <c r="T16" s="23">
        <v>25.0</v>
      </c>
      <c r="U16" s="23">
        <v>0.0</v>
      </c>
      <c r="V16" s="24">
        <v>3.0</v>
      </c>
      <c r="W16" s="23">
        <v>1.0</v>
      </c>
      <c r="X16" s="26">
        <f t="shared" si="4"/>
        <v>29</v>
      </c>
    </row>
    <row r="17">
      <c r="A17" s="20" t="s">
        <v>38</v>
      </c>
      <c r="B17" s="21">
        <v>2.0</v>
      </c>
      <c r="C17" s="23">
        <v>0.0</v>
      </c>
      <c r="D17" s="23">
        <v>2.0</v>
      </c>
      <c r="E17" s="23">
        <v>0.0</v>
      </c>
      <c r="F17" s="23">
        <v>0.0</v>
      </c>
      <c r="G17" s="22">
        <v>0.0</v>
      </c>
      <c r="H17" s="22">
        <v>0.0</v>
      </c>
      <c r="I17" s="23">
        <v>0.0</v>
      </c>
      <c r="J17" s="25">
        <f t="shared" si="1"/>
        <v>2</v>
      </c>
      <c r="K17" s="23">
        <v>2.0</v>
      </c>
      <c r="L17" s="24">
        <v>0.0</v>
      </c>
      <c r="M17" s="25">
        <f t="shared" si="2"/>
        <v>2</v>
      </c>
      <c r="N17" s="23">
        <v>1.0</v>
      </c>
      <c r="O17" s="22">
        <v>0.0</v>
      </c>
      <c r="P17" s="24">
        <v>1.0</v>
      </c>
      <c r="Q17" s="24">
        <v>0.0</v>
      </c>
      <c r="R17" s="24">
        <v>0.0</v>
      </c>
      <c r="S17" s="26">
        <f t="shared" si="3"/>
        <v>2</v>
      </c>
      <c r="T17" s="23">
        <v>1.0</v>
      </c>
      <c r="U17" s="23">
        <v>0.0</v>
      </c>
      <c r="V17" s="24">
        <v>0.0</v>
      </c>
      <c r="W17" s="23">
        <v>1.0</v>
      </c>
      <c r="X17" s="26">
        <f t="shared" si="4"/>
        <v>2</v>
      </c>
    </row>
    <row r="18">
      <c r="A18" s="20" t="s">
        <v>39</v>
      </c>
      <c r="B18" s="27">
        <v>71.0</v>
      </c>
      <c r="C18" s="23">
        <v>1.0</v>
      </c>
      <c r="D18" s="23">
        <v>69.0</v>
      </c>
      <c r="E18" s="23">
        <v>0.0</v>
      </c>
      <c r="F18" s="23">
        <v>0.0</v>
      </c>
      <c r="G18" s="23">
        <v>0.0</v>
      </c>
      <c r="H18" s="23">
        <v>0.0</v>
      </c>
      <c r="I18" s="23">
        <v>1.0</v>
      </c>
      <c r="J18" s="25">
        <f t="shared" si="1"/>
        <v>71</v>
      </c>
      <c r="K18" s="23">
        <v>64.0</v>
      </c>
      <c r="L18" s="23">
        <v>7.0</v>
      </c>
      <c r="M18" s="25">
        <f t="shared" si="2"/>
        <v>71</v>
      </c>
      <c r="N18" s="23">
        <v>11.0</v>
      </c>
      <c r="O18" s="23">
        <v>45.0</v>
      </c>
      <c r="P18" s="23">
        <v>12.0</v>
      </c>
      <c r="Q18" s="23">
        <v>1.0</v>
      </c>
      <c r="R18" s="23">
        <v>2.0</v>
      </c>
      <c r="S18" s="26">
        <f t="shared" si="3"/>
        <v>71</v>
      </c>
      <c r="T18" s="23">
        <v>57.0</v>
      </c>
      <c r="U18" s="23">
        <v>3.0</v>
      </c>
      <c r="V18" s="23">
        <v>8.0</v>
      </c>
      <c r="W18" s="23">
        <v>3.0</v>
      </c>
      <c r="X18" s="26">
        <f t="shared" si="4"/>
        <v>71</v>
      </c>
    </row>
    <row r="19">
      <c r="A19" s="20" t="s">
        <v>40</v>
      </c>
      <c r="B19" s="27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5">
        <f t="shared" si="1"/>
        <v>0</v>
      </c>
      <c r="K19" s="23">
        <v>0.0</v>
      </c>
      <c r="L19" s="23">
        <v>0.0</v>
      </c>
      <c r="M19" s="25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0</v>
      </c>
      <c r="T19" s="23">
        <v>0.0</v>
      </c>
      <c r="U19" s="23">
        <v>0.0</v>
      </c>
      <c r="V19" s="23">
        <v>0.0</v>
      </c>
      <c r="W19" s="23">
        <v>0.0</v>
      </c>
      <c r="X19" s="26">
        <f t="shared" si="4"/>
        <v>0</v>
      </c>
    </row>
    <row r="20">
      <c r="A20" s="20" t="s">
        <v>41</v>
      </c>
      <c r="B20" s="21">
        <v>0.0</v>
      </c>
      <c r="C20" s="22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2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4">
        <v>0.0</v>
      </c>
      <c r="X20" s="26">
        <f t="shared" si="4"/>
        <v>0</v>
      </c>
    </row>
    <row r="21">
      <c r="A21" s="20" t="s">
        <v>42</v>
      </c>
      <c r="B21" s="27">
        <v>5.0</v>
      </c>
      <c r="C21" s="23">
        <v>0.0</v>
      </c>
      <c r="D21" s="23">
        <v>5.0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5">
        <f t="shared" si="1"/>
        <v>5</v>
      </c>
      <c r="K21" s="23">
        <v>5.0</v>
      </c>
      <c r="L21" s="23">
        <v>0.0</v>
      </c>
      <c r="M21" s="25">
        <f t="shared" si="2"/>
        <v>5</v>
      </c>
      <c r="N21" s="23">
        <v>4.0</v>
      </c>
      <c r="O21" s="23">
        <v>0.0</v>
      </c>
      <c r="P21" s="23">
        <v>1.0</v>
      </c>
      <c r="Q21" s="23">
        <v>0.0</v>
      </c>
      <c r="R21" s="23">
        <v>0.0</v>
      </c>
      <c r="S21" s="26">
        <f t="shared" si="3"/>
        <v>5</v>
      </c>
      <c r="T21" s="23">
        <v>5.0</v>
      </c>
      <c r="U21" s="23">
        <v>0.0</v>
      </c>
      <c r="V21" s="23">
        <v>0.0</v>
      </c>
      <c r="W21" s="23">
        <v>0.0</v>
      </c>
      <c r="X21" s="26">
        <f t="shared" si="4"/>
        <v>5</v>
      </c>
    </row>
    <row r="22">
      <c r="A22" s="20" t="s">
        <v>43</v>
      </c>
      <c r="B22" s="27">
        <v>58.0</v>
      </c>
      <c r="C22" s="23">
        <v>1.0</v>
      </c>
      <c r="D22" s="23">
        <v>57.0</v>
      </c>
      <c r="E22" s="23">
        <v>0.0</v>
      </c>
      <c r="F22" s="23">
        <v>0.0</v>
      </c>
      <c r="G22" s="23">
        <v>0.0</v>
      </c>
      <c r="H22" s="23">
        <v>0.0</v>
      </c>
      <c r="I22" s="23">
        <v>0.0</v>
      </c>
      <c r="J22" s="25">
        <f t="shared" si="1"/>
        <v>58</v>
      </c>
      <c r="K22" s="23">
        <v>58.0</v>
      </c>
      <c r="L22" s="23">
        <v>0.0</v>
      </c>
      <c r="M22" s="25">
        <f t="shared" si="2"/>
        <v>58</v>
      </c>
      <c r="N22" s="23">
        <v>31.0</v>
      </c>
      <c r="O22" s="23">
        <v>24.0</v>
      </c>
      <c r="P22" s="23">
        <v>3.0</v>
      </c>
      <c r="Q22" s="23">
        <v>0.0</v>
      </c>
      <c r="R22" s="23">
        <v>0.0</v>
      </c>
      <c r="S22" s="26">
        <f t="shared" si="3"/>
        <v>58</v>
      </c>
      <c r="T22" s="23">
        <v>55.0</v>
      </c>
      <c r="U22" s="23">
        <v>0.0</v>
      </c>
      <c r="V22" s="23">
        <v>3.0</v>
      </c>
      <c r="W22" s="23">
        <v>0.0</v>
      </c>
      <c r="X22" s="26">
        <f t="shared" si="4"/>
        <v>58</v>
      </c>
    </row>
    <row r="23">
      <c r="A23" s="20" t="s">
        <v>44</v>
      </c>
      <c r="B23" s="27">
        <v>23.0</v>
      </c>
      <c r="C23" s="23">
        <v>0.0</v>
      </c>
      <c r="D23" s="23">
        <v>23.0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5">
        <f t="shared" si="1"/>
        <v>23</v>
      </c>
      <c r="K23" s="23">
        <v>23.0</v>
      </c>
      <c r="L23" s="23">
        <v>0.0</v>
      </c>
      <c r="M23" s="25">
        <f t="shared" si="2"/>
        <v>23</v>
      </c>
      <c r="N23" s="23">
        <v>17.0</v>
      </c>
      <c r="O23" s="23">
        <v>2.0</v>
      </c>
      <c r="P23" s="23">
        <v>4.0</v>
      </c>
      <c r="Q23" s="23">
        <v>0.0</v>
      </c>
      <c r="R23" s="23">
        <v>0.0</v>
      </c>
      <c r="S23" s="26">
        <f t="shared" si="3"/>
        <v>23</v>
      </c>
      <c r="T23" s="23">
        <v>20.0</v>
      </c>
      <c r="U23" s="23">
        <v>0.0</v>
      </c>
      <c r="V23" s="23">
        <v>3.0</v>
      </c>
      <c r="W23" s="23">
        <v>0.0</v>
      </c>
      <c r="X23" s="26">
        <f t="shared" si="4"/>
        <v>23</v>
      </c>
    </row>
    <row r="24">
      <c r="A24" s="20" t="s">
        <v>45</v>
      </c>
      <c r="B24" s="27">
        <v>3.0</v>
      </c>
      <c r="C24" s="23">
        <v>0.0</v>
      </c>
      <c r="D24" s="23">
        <v>3.0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5">
        <f t="shared" si="1"/>
        <v>3</v>
      </c>
      <c r="K24" s="23">
        <v>2.0</v>
      </c>
      <c r="L24" s="23">
        <v>1.0</v>
      </c>
      <c r="M24" s="25">
        <f t="shared" si="2"/>
        <v>3</v>
      </c>
      <c r="N24" s="23">
        <v>0.0</v>
      </c>
      <c r="O24" s="23">
        <v>3.0</v>
      </c>
      <c r="P24" s="23">
        <v>0.0</v>
      </c>
      <c r="Q24" s="23">
        <v>0.0</v>
      </c>
      <c r="R24" s="23">
        <v>0.0</v>
      </c>
      <c r="S24" s="26">
        <f t="shared" si="3"/>
        <v>3</v>
      </c>
      <c r="T24" s="23">
        <v>1.0</v>
      </c>
      <c r="U24" s="23">
        <v>0.0</v>
      </c>
      <c r="V24" s="23">
        <v>2.0</v>
      </c>
      <c r="W24" s="23">
        <v>0.0</v>
      </c>
      <c r="X24" s="26">
        <f t="shared" si="4"/>
        <v>3</v>
      </c>
    </row>
    <row r="25">
      <c r="A25" s="20" t="s">
        <v>46</v>
      </c>
      <c r="B25" s="27">
        <v>22.0</v>
      </c>
      <c r="C25" s="23">
        <v>1.0</v>
      </c>
      <c r="D25" s="23">
        <v>21.0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5">
        <f t="shared" si="1"/>
        <v>22</v>
      </c>
      <c r="K25" s="23">
        <v>16.0</v>
      </c>
      <c r="L25" s="23">
        <v>6.0</v>
      </c>
      <c r="M25" s="25">
        <f t="shared" si="2"/>
        <v>22</v>
      </c>
      <c r="N25" s="23">
        <v>3.0</v>
      </c>
      <c r="O25" s="23">
        <v>19.0</v>
      </c>
      <c r="P25" s="23">
        <v>0.0</v>
      </c>
      <c r="Q25" s="23">
        <v>0.0</v>
      </c>
      <c r="R25" s="23">
        <v>0.0</v>
      </c>
      <c r="S25" s="26">
        <f t="shared" si="3"/>
        <v>22</v>
      </c>
      <c r="T25" s="23">
        <v>15.0</v>
      </c>
      <c r="U25" s="23">
        <v>0.0</v>
      </c>
      <c r="V25" s="23">
        <v>4.0</v>
      </c>
      <c r="W25" s="23">
        <v>3.0</v>
      </c>
      <c r="X25" s="26">
        <f t="shared" si="4"/>
        <v>22</v>
      </c>
    </row>
    <row r="26">
      <c r="A26" s="20" t="s">
        <v>47</v>
      </c>
      <c r="B26" s="27">
        <v>2.0</v>
      </c>
      <c r="C26" s="23">
        <v>0.0</v>
      </c>
      <c r="D26" s="23">
        <v>1.0</v>
      </c>
      <c r="E26" s="23">
        <v>0.0</v>
      </c>
      <c r="F26" s="23">
        <v>0.0</v>
      </c>
      <c r="G26" s="23">
        <v>1.0</v>
      </c>
      <c r="H26" s="23">
        <v>0.0</v>
      </c>
      <c r="I26" s="23">
        <v>0.0</v>
      </c>
      <c r="J26" s="25">
        <f t="shared" si="1"/>
        <v>2</v>
      </c>
      <c r="K26" s="23">
        <v>1.0</v>
      </c>
      <c r="L26" s="23">
        <v>1.0</v>
      </c>
      <c r="M26" s="25">
        <f t="shared" si="2"/>
        <v>2</v>
      </c>
      <c r="N26" s="23">
        <v>0.0</v>
      </c>
      <c r="O26" s="23">
        <v>2.0</v>
      </c>
      <c r="P26" s="23">
        <v>0.0</v>
      </c>
      <c r="Q26" s="23">
        <v>0.0</v>
      </c>
      <c r="R26" s="23">
        <v>0.0</v>
      </c>
      <c r="S26" s="26">
        <f t="shared" si="3"/>
        <v>2</v>
      </c>
      <c r="T26" s="23">
        <v>1.0</v>
      </c>
      <c r="U26" s="23">
        <v>0.0</v>
      </c>
      <c r="V26" s="23">
        <v>1.0</v>
      </c>
      <c r="W26" s="23">
        <v>0.0</v>
      </c>
      <c r="X26" s="26">
        <f t="shared" si="4"/>
        <v>2</v>
      </c>
    </row>
    <row r="27">
      <c r="A27" s="20" t="s">
        <v>48</v>
      </c>
      <c r="B27" s="21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5">
        <f t="shared" si="1"/>
        <v>0</v>
      </c>
      <c r="K27" s="23">
        <v>0.0</v>
      </c>
      <c r="L27" s="23">
        <v>0.0</v>
      </c>
      <c r="M27" s="25">
        <f t="shared" si="2"/>
        <v>0</v>
      </c>
      <c r="N27" s="23">
        <v>0.0</v>
      </c>
      <c r="O27" s="23">
        <v>0.0</v>
      </c>
      <c r="P27" s="24">
        <v>0.0</v>
      </c>
      <c r="Q27" s="23">
        <v>0.0</v>
      </c>
      <c r="R27" s="24">
        <v>0.0</v>
      </c>
      <c r="S27" s="26">
        <f t="shared" si="3"/>
        <v>0</v>
      </c>
      <c r="T27" s="23">
        <v>0.0</v>
      </c>
      <c r="U27" s="23">
        <v>0.0</v>
      </c>
      <c r="V27" s="23">
        <v>0.0</v>
      </c>
      <c r="W27" s="23">
        <v>0.0</v>
      </c>
      <c r="X27" s="26">
        <f t="shared" si="4"/>
        <v>0</v>
      </c>
    </row>
    <row r="28">
      <c r="A28" s="20" t="s">
        <v>49</v>
      </c>
      <c r="B28" s="21">
        <v>4.0</v>
      </c>
      <c r="C28" s="23">
        <v>0.0</v>
      </c>
      <c r="D28" s="23">
        <v>4.0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5">
        <f t="shared" si="1"/>
        <v>4</v>
      </c>
      <c r="K28" s="23">
        <v>2.0</v>
      </c>
      <c r="L28" s="23">
        <v>2.0</v>
      </c>
      <c r="M28" s="25">
        <f t="shared" si="2"/>
        <v>4</v>
      </c>
      <c r="N28" s="23">
        <v>2.0</v>
      </c>
      <c r="O28" s="23">
        <v>2.0</v>
      </c>
      <c r="P28" s="24">
        <v>0.0</v>
      </c>
      <c r="Q28" s="23">
        <v>0.0</v>
      </c>
      <c r="R28" s="24">
        <v>0.0</v>
      </c>
      <c r="S28" s="26">
        <f t="shared" si="3"/>
        <v>4</v>
      </c>
      <c r="T28" s="23">
        <v>4.0</v>
      </c>
      <c r="U28" s="23">
        <v>0.0</v>
      </c>
      <c r="V28" s="23">
        <v>0.0</v>
      </c>
      <c r="W28" s="23">
        <v>0.0</v>
      </c>
      <c r="X28" s="26">
        <f t="shared" si="4"/>
        <v>4</v>
      </c>
    </row>
    <row r="29">
      <c r="A29" s="20" t="s">
        <v>50</v>
      </c>
      <c r="B29" s="21">
        <v>18.0</v>
      </c>
      <c r="C29" s="22">
        <v>1.0</v>
      </c>
      <c r="D29" s="23">
        <v>15.0</v>
      </c>
      <c r="E29" s="23">
        <v>2.0</v>
      </c>
      <c r="F29" s="23">
        <v>0.0</v>
      </c>
      <c r="G29" s="23">
        <v>0.0</v>
      </c>
      <c r="H29" s="23">
        <v>0.0</v>
      </c>
      <c r="I29" s="23">
        <v>0.0</v>
      </c>
      <c r="J29" s="25">
        <f t="shared" si="1"/>
        <v>18</v>
      </c>
      <c r="K29" s="23">
        <v>16.0</v>
      </c>
      <c r="L29" s="23">
        <v>2.0</v>
      </c>
      <c r="M29" s="25">
        <f t="shared" si="2"/>
        <v>18</v>
      </c>
      <c r="N29" s="23">
        <v>0.0</v>
      </c>
      <c r="O29" s="23">
        <v>18.0</v>
      </c>
      <c r="P29" s="24">
        <v>0.0</v>
      </c>
      <c r="Q29" s="23">
        <v>0.0</v>
      </c>
      <c r="R29" s="24">
        <v>0.0</v>
      </c>
      <c r="S29" s="26">
        <f t="shared" si="3"/>
        <v>18</v>
      </c>
      <c r="T29" s="23">
        <v>8.0</v>
      </c>
      <c r="U29" s="23">
        <v>1.0</v>
      </c>
      <c r="V29" s="23">
        <v>3.0</v>
      </c>
      <c r="W29" s="23">
        <v>6.0</v>
      </c>
      <c r="X29" s="26">
        <f t="shared" si="4"/>
        <v>18</v>
      </c>
    </row>
    <row r="30">
      <c r="A30" s="20" t="s">
        <v>51</v>
      </c>
      <c r="B30" s="27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5">
        <f t="shared" si="1"/>
        <v>0</v>
      </c>
      <c r="K30" s="23">
        <v>0.0</v>
      </c>
      <c r="L30" s="23">
        <v>0.0</v>
      </c>
      <c r="M30" s="25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6">
        <f t="shared" si="3"/>
        <v>0</v>
      </c>
      <c r="T30" s="23">
        <v>0.0</v>
      </c>
      <c r="U30" s="23">
        <v>0.0</v>
      </c>
      <c r="V30" s="23">
        <v>0.0</v>
      </c>
      <c r="W30" s="23">
        <v>0.0</v>
      </c>
      <c r="X30" s="26">
        <f t="shared" si="4"/>
        <v>0</v>
      </c>
    </row>
    <row r="31">
      <c r="A31" s="20" t="s">
        <v>52</v>
      </c>
      <c r="B31" s="27">
        <v>19.0</v>
      </c>
      <c r="C31" s="23">
        <v>0.0</v>
      </c>
      <c r="D31" s="23">
        <v>19.0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5">
        <f t="shared" si="1"/>
        <v>19</v>
      </c>
      <c r="K31" s="23">
        <v>19.0</v>
      </c>
      <c r="L31" s="23">
        <v>0.0</v>
      </c>
      <c r="M31" s="25">
        <f t="shared" si="2"/>
        <v>19</v>
      </c>
      <c r="N31" s="23">
        <v>0.0</v>
      </c>
      <c r="O31" s="23">
        <v>2.0</v>
      </c>
      <c r="P31" s="23">
        <v>17.0</v>
      </c>
      <c r="Q31" s="23">
        <v>0.0</v>
      </c>
      <c r="R31" s="23">
        <v>0.0</v>
      </c>
      <c r="S31" s="26">
        <f t="shared" si="3"/>
        <v>19</v>
      </c>
      <c r="T31" s="23">
        <v>12.0</v>
      </c>
      <c r="U31" s="23">
        <v>0.0</v>
      </c>
      <c r="V31" s="23">
        <v>6.0</v>
      </c>
      <c r="W31" s="23">
        <v>1.0</v>
      </c>
      <c r="X31" s="26">
        <f t="shared" si="4"/>
        <v>19</v>
      </c>
    </row>
    <row r="32">
      <c r="A32" s="20" t="s">
        <v>53</v>
      </c>
      <c r="B32" s="21">
        <v>6.0</v>
      </c>
      <c r="C32" s="23">
        <v>0.0</v>
      </c>
      <c r="D32" s="23">
        <v>5.0</v>
      </c>
      <c r="E32" s="23">
        <v>1.0</v>
      </c>
      <c r="F32" s="23">
        <v>0.0</v>
      </c>
      <c r="G32" s="23">
        <v>0.0</v>
      </c>
      <c r="H32" s="23">
        <v>0.0</v>
      </c>
      <c r="I32" s="23">
        <v>0.0</v>
      </c>
      <c r="J32" s="25">
        <f t="shared" si="1"/>
        <v>6</v>
      </c>
      <c r="K32" s="23">
        <v>6.0</v>
      </c>
      <c r="L32" s="23">
        <v>0.0</v>
      </c>
      <c r="M32" s="25">
        <f t="shared" si="2"/>
        <v>6</v>
      </c>
      <c r="N32" s="23">
        <v>1.0</v>
      </c>
      <c r="O32" s="22">
        <v>4.0</v>
      </c>
      <c r="P32" s="24">
        <v>1.0</v>
      </c>
      <c r="Q32" s="22">
        <v>0.0</v>
      </c>
      <c r="R32" s="23">
        <v>0.0</v>
      </c>
      <c r="S32" s="26">
        <f t="shared" si="3"/>
        <v>6</v>
      </c>
      <c r="T32" s="23">
        <v>3.0</v>
      </c>
      <c r="U32" s="23">
        <v>0.0</v>
      </c>
      <c r="V32" s="23">
        <v>3.0</v>
      </c>
      <c r="W32" s="23">
        <v>0.0</v>
      </c>
      <c r="X32" s="26">
        <f t="shared" si="4"/>
        <v>6</v>
      </c>
    </row>
    <row r="33">
      <c r="A33" s="20" t="s">
        <v>54</v>
      </c>
      <c r="B33" s="21">
        <v>11.0</v>
      </c>
      <c r="C33" s="23">
        <v>0.0</v>
      </c>
      <c r="D33" s="23">
        <v>11.0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5">
        <f t="shared" si="1"/>
        <v>11</v>
      </c>
      <c r="K33" s="23">
        <v>11.0</v>
      </c>
      <c r="L33" s="23">
        <v>0.0</v>
      </c>
      <c r="M33" s="25">
        <f t="shared" si="2"/>
        <v>11</v>
      </c>
      <c r="N33" s="23">
        <v>0.0</v>
      </c>
      <c r="O33" s="23">
        <v>3.0</v>
      </c>
      <c r="P33" s="24">
        <v>8.0</v>
      </c>
      <c r="Q33" s="23">
        <v>0.0</v>
      </c>
      <c r="R33" s="23">
        <v>0.0</v>
      </c>
      <c r="S33" s="26">
        <f t="shared" si="3"/>
        <v>11</v>
      </c>
      <c r="T33" s="23">
        <v>9.0</v>
      </c>
      <c r="U33" s="23">
        <v>0.0</v>
      </c>
      <c r="V33" s="23">
        <v>0.0</v>
      </c>
      <c r="W33" s="23">
        <v>1.0</v>
      </c>
      <c r="X33" s="26">
        <f t="shared" si="4"/>
        <v>10</v>
      </c>
    </row>
    <row r="34">
      <c r="A34" s="20" t="s">
        <v>55</v>
      </c>
      <c r="B34" s="27">
        <v>1.0</v>
      </c>
      <c r="C34" s="23">
        <v>0.0</v>
      </c>
      <c r="D34" s="23">
        <v>1.0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5">
        <f t="shared" si="1"/>
        <v>1</v>
      </c>
      <c r="K34" s="23">
        <v>1.0</v>
      </c>
      <c r="L34" s="23">
        <v>0.0</v>
      </c>
      <c r="M34" s="25">
        <f t="shared" si="2"/>
        <v>1</v>
      </c>
      <c r="N34" s="23">
        <v>0.0</v>
      </c>
      <c r="O34" s="23">
        <v>1.0</v>
      </c>
      <c r="P34" s="23">
        <v>0.0</v>
      </c>
      <c r="Q34" s="23">
        <v>0.0</v>
      </c>
      <c r="R34" s="23">
        <v>0.0</v>
      </c>
      <c r="S34" s="26">
        <f t="shared" si="3"/>
        <v>1</v>
      </c>
      <c r="T34" s="23">
        <v>0.0</v>
      </c>
      <c r="U34" s="23">
        <v>0.0</v>
      </c>
      <c r="V34" s="23">
        <v>1.0</v>
      </c>
      <c r="W34" s="23">
        <v>0.0</v>
      </c>
      <c r="X34" s="26">
        <f t="shared" si="4"/>
        <v>1</v>
      </c>
    </row>
    <row r="35">
      <c r="A35" s="20" t="s">
        <v>56</v>
      </c>
      <c r="B35" s="27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6.0</v>
      </c>
      <c r="C36" s="23">
        <v>0.0</v>
      </c>
      <c r="D36" s="23">
        <v>6.0</v>
      </c>
      <c r="E36" s="23">
        <v>0.0</v>
      </c>
      <c r="F36" s="23">
        <v>0.0</v>
      </c>
      <c r="G36" s="23">
        <v>0.0</v>
      </c>
      <c r="H36" s="22">
        <v>0.0</v>
      </c>
      <c r="I36" s="23">
        <v>0.0</v>
      </c>
      <c r="J36" s="25">
        <f t="shared" si="1"/>
        <v>6</v>
      </c>
      <c r="K36" s="23">
        <v>6.0</v>
      </c>
      <c r="L36" s="23">
        <v>0.0</v>
      </c>
      <c r="M36" s="25">
        <f t="shared" si="2"/>
        <v>6</v>
      </c>
      <c r="N36" s="23">
        <v>2.0</v>
      </c>
      <c r="O36" s="23">
        <v>0.0</v>
      </c>
      <c r="P36" s="24">
        <v>4.0</v>
      </c>
      <c r="Q36" s="23">
        <v>0.0</v>
      </c>
      <c r="R36" s="23">
        <v>0.0</v>
      </c>
      <c r="S36" s="26">
        <f t="shared" si="3"/>
        <v>6</v>
      </c>
      <c r="T36" s="23">
        <v>6.0</v>
      </c>
      <c r="U36" s="23">
        <v>0.0</v>
      </c>
      <c r="V36" s="23">
        <v>0.0</v>
      </c>
      <c r="W36" s="23">
        <v>0.0</v>
      </c>
      <c r="X36" s="26">
        <f t="shared" si="4"/>
        <v>6</v>
      </c>
    </row>
    <row r="37">
      <c r="A37" s="20" t="s">
        <v>58</v>
      </c>
      <c r="B37" s="21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9">
        <v>0.0</v>
      </c>
      <c r="D38" s="29">
        <v>0.0</v>
      </c>
      <c r="E38" s="29">
        <v>0.0</v>
      </c>
      <c r="F38" s="29">
        <v>0.0</v>
      </c>
      <c r="G38" s="29">
        <v>0.0</v>
      </c>
      <c r="H38" s="29">
        <v>0.0</v>
      </c>
      <c r="I38" s="29">
        <v>0.0</v>
      </c>
      <c r="J38" s="25">
        <f t="shared" si="1"/>
        <v>0</v>
      </c>
      <c r="K38" s="29">
        <v>0.0</v>
      </c>
      <c r="L38" s="29">
        <v>0.0</v>
      </c>
      <c r="M38" s="25">
        <f t="shared" si="2"/>
        <v>0</v>
      </c>
      <c r="N38" s="29">
        <v>0.0</v>
      </c>
      <c r="O38" s="29">
        <v>0.0</v>
      </c>
      <c r="P38" s="29">
        <v>0.0</v>
      </c>
      <c r="Q38" s="29">
        <v>0.0</v>
      </c>
      <c r="R38" s="29">
        <v>0.0</v>
      </c>
      <c r="S38" s="26">
        <f t="shared" si="3"/>
        <v>0</v>
      </c>
      <c r="T38" s="29">
        <v>0.0</v>
      </c>
      <c r="U38" s="29">
        <v>0.0</v>
      </c>
      <c r="V38" s="29">
        <v>0.0</v>
      </c>
      <c r="W38" s="29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/>
      <c r="C39" s="29"/>
      <c r="D39" s="29"/>
      <c r="E39" s="29"/>
      <c r="F39" s="29"/>
      <c r="G39" s="29"/>
      <c r="H39" s="29"/>
      <c r="I39" s="29"/>
      <c r="J39" s="25"/>
      <c r="K39" s="29"/>
      <c r="L39" s="29"/>
      <c r="M39" s="25"/>
      <c r="N39" s="29"/>
      <c r="O39" s="29"/>
      <c r="P39" s="29"/>
      <c r="Q39" s="29"/>
      <c r="R39" s="29"/>
      <c r="S39" s="26"/>
      <c r="T39" s="29"/>
      <c r="U39" s="29"/>
      <c r="V39" s="29"/>
      <c r="W39" s="29"/>
      <c r="X39" s="26"/>
      <c r="Y39" s="30"/>
      <c r="Z39" s="30"/>
    </row>
    <row r="40">
      <c r="A40" s="20" t="s">
        <v>61</v>
      </c>
      <c r="B40" s="28">
        <v>0.0</v>
      </c>
      <c r="C40" s="29">
        <v>0.0</v>
      </c>
      <c r="D40" s="29">
        <v>0.0</v>
      </c>
      <c r="E40" s="29">
        <v>0.0</v>
      </c>
      <c r="F40" s="29">
        <v>0.0</v>
      </c>
      <c r="G40" s="29">
        <v>0.0</v>
      </c>
      <c r="H40" s="29">
        <v>0.0</v>
      </c>
      <c r="I40" s="29">
        <v>0.0</v>
      </c>
      <c r="J40" s="25">
        <f t="shared" ref="J40:J53" si="5">sum(C40:I40)</f>
        <v>0</v>
      </c>
      <c r="K40" s="29">
        <v>0.0</v>
      </c>
      <c r="L40" s="29">
        <v>0.0</v>
      </c>
      <c r="M40" s="25">
        <f t="shared" ref="M40:M53" si="6">sum(K40:L40)</f>
        <v>0</v>
      </c>
      <c r="N40" s="29">
        <v>0.0</v>
      </c>
      <c r="O40" s="29">
        <v>0.0</v>
      </c>
      <c r="P40" s="29">
        <v>0.0</v>
      </c>
      <c r="Q40" s="29">
        <v>0.0</v>
      </c>
      <c r="R40" s="29">
        <v>0.0</v>
      </c>
      <c r="S40" s="26">
        <f t="shared" ref="S40:S53" si="7">sum(N40:R40)</f>
        <v>0</v>
      </c>
      <c r="T40" s="29">
        <v>0.0</v>
      </c>
      <c r="U40" s="29">
        <v>0.0</v>
      </c>
      <c r="V40" s="29">
        <v>0.0</v>
      </c>
      <c r="W40" s="29">
        <v>0.0</v>
      </c>
      <c r="X40" s="26">
        <f t="shared" ref="X40:X53" si="8">sum(T40:W40)</f>
        <v>0</v>
      </c>
      <c r="Y40" s="30"/>
      <c r="Z40" s="30"/>
    </row>
    <row r="41">
      <c r="A41" s="20" t="s">
        <v>62</v>
      </c>
      <c r="B41" s="27">
        <v>5.0</v>
      </c>
      <c r="C41" s="23">
        <v>0.0</v>
      </c>
      <c r="D41" s="23">
        <v>5.0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5">
        <f t="shared" si="5"/>
        <v>5</v>
      </c>
      <c r="K41" s="23">
        <v>5.0</v>
      </c>
      <c r="L41" s="23">
        <v>0.0</v>
      </c>
      <c r="M41" s="25">
        <f t="shared" si="6"/>
        <v>5</v>
      </c>
      <c r="N41" s="23">
        <v>0.0</v>
      </c>
      <c r="O41" s="23">
        <v>0.0</v>
      </c>
      <c r="P41" s="23">
        <v>5.0</v>
      </c>
      <c r="Q41" s="23">
        <v>0.0</v>
      </c>
      <c r="R41" s="23">
        <v>0.0</v>
      </c>
      <c r="S41" s="26">
        <f t="shared" si="7"/>
        <v>5</v>
      </c>
      <c r="T41" s="23">
        <v>3.0</v>
      </c>
      <c r="U41" s="23">
        <v>0.0</v>
      </c>
      <c r="V41" s="23">
        <v>0.0</v>
      </c>
      <c r="W41" s="23">
        <v>2.0</v>
      </c>
      <c r="X41" s="26">
        <f t="shared" si="8"/>
        <v>5</v>
      </c>
    </row>
    <row r="42">
      <c r="A42" s="20" t="s">
        <v>63</v>
      </c>
      <c r="B42" s="27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5">
        <f t="shared" si="5"/>
        <v>0</v>
      </c>
      <c r="K42" s="23">
        <v>0.0</v>
      </c>
      <c r="L42" s="23">
        <v>0.0</v>
      </c>
      <c r="M42" s="25">
        <f t="shared" si="6"/>
        <v>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6">
        <f t="shared" si="7"/>
        <v>0</v>
      </c>
      <c r="T42" s="23">
        <v>0.0</v>
      </c>
      <c r="U42" s="23">
        <v>0.0</v>
      </c>
      <c r="V42" s="23">
        <v>0.0</v>
      </c>
      <c r="W42" s="23">
        <v>0.0</v>
      </c>
      <c r="X42" s="26">
        <f t="shared" si="8"/>
        <v>0</v>
      </c>
    </row>
    <row r="43">
      <c r="A43" s="20" t="s">
        <v>64</v>
      </c>
      <c r="B43" s="27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5">
        <f t="shared" si="5"/>
        <v>0</v>
      </c>
      <c r="K43" s="23">
        <v>0.0</v>
      </c>
      <c r="L43" s="23">
        <v>0.0</v>
      </c>
      <c r="M43" s="25">
        <f t="shared" si="6"/>
        <v>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6">
        <f t="shared" si="7"/>
        <v>0</v>
      </c>
      <c r="T43" s="23">
        <v>0.0</v>
      </c>
      <c r="U43" s="23">
        <v>0.0</v>
      </c>
      <c r="V43" s="23">
        <v>0.0</v>
      </c>
      <c r="W43" s="23">
        <v>0.0</v>
      </c>
      <c r="X43" s="26">
        <f t="shared" si="8"/>
        <v>0</v>
      </c>
    </row>
    <row r="44">
      <c r="A44" s="20" t="s">
        <v>65</v>
      </c>
      <c r="B44" s="27">
        <v>3.0</v>
      </c>
      <c r="C44" s="23">
        <v>0.0</v>
      </c>
      <c r="D44" s="23">
        <v>3.0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5">
        <f t="shared" si="5"/>
        <v>3</v>
      </c>
      <c r="K44" s="23">
        <v>3.0</v>
      </c>
      <c r="L44" s="23">
        <v>0.0</v>
      </c>
      <c r="M44" s="25">
        <f t="shared" si="6"/>
        <v>3</v>
      </c>
      <c r="N44" s="23">
        <v>0.0</v>
      </c>
      <c r="O44" s="23">
        <v>3.0</v>
      </c>
      <c r="P44" s="23">
        <v>0.0</v>
      </c>
      <c r="Q44" s="23">
        <v>0.0</v>
      </c>
      <c r="R44" s="23">
        <v>0.0</v>
      </c>
      <c r="S44" s="26">
        <f t="shared" si="7"/>
        <v>3</v>
      </c>
      <c r="T44" s="23">
        <v>2.0</v>
      </c>
      <c r="U44" s="23">
        <v>0.0</v>
      </c>
      <c r="V44" s="23">
        <v>0.0</v>
      </c>
      <c r="W44" s="23">
        <v>1.0</v>
      </c>
      <c r="X44" s="26">
        <f t="shared" si="8"/>
        <v>3</v>
      </c>
    </row>
    <row r="45">
      <c r="A45" s="20" t="s">
        <v>66</v>
      </c>
      <c r="B45" s="27">
        <v>55.0</v>
      </c>
      <c r="C45" s="23">
        <v>2.0</v>
      </c>
      <c r="D45" s="23">
        <v>49.0</v>
      </c>
      <c r="E45" s="23">
        <v>0.0</v>
      </c>
      <c r="F45" s="23">
        <v>0.0</v>
      </c>
      <c r="G45" s="23">
        <v>0.0</v>
      </c>
      <c r="H45" s="23">
        <v>1.0</v>
      </c>
      <c r="I45" s="23">
        <v>0.0</v>
      </c>
      <c r="J45" s="25">
        <f t="shared" si="5"/>
        <v>52</v>
      </c>
      <c r="K45" s="23">
        <v>33.0</v>
      </c>
      <c r="L45" s="23">
        <v>19.0</v>
      </c>
      <c r="M45" s="25">
        <f t="shared" si="6"/>
        <v>52</v>
      </c>
      <c r="N45" s="23">
        <v>19.0</v>
      </c>
      <c r="O45" s="23">
        <v>33.0</v>
      </c>
      <c r="P45" s="23">
        <v>0.0</v>
      </c>
      <c r="Q45" s="23">
        <v>0.0</v>
      </c>
      <c r="R45" s="23">
        <v>0.0</v>
      </c>
      <c r="S45" s="26">
        <f t="shared" si="7"/>
        <v>52</v>
      </c>
      <c r="T45" s="23">
        <v>29.0</v>
      </c>
      <c r="U45" s="23">
        <v>2.0</v>
      </c>
      <c r="V45" s="23">
        <v>13.0</v>
      </c>
      <c r="W45" s="23">
        <v>9.0</v>
      </c>
      <c r="X45" s="26">
        <f t="shared" si="8"/>
        <v>53</v>
      </c>
    </row>
    <row r="46">
      <c r="A46" s="20" t="s">
        <v>67</v>
      </c>
      <c r="B46" s="27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5">
        <f t="shared" si="5"/>
        <v>0</v>
      </c>
      <c r="K46" s="23">
        <v>0.0</v>
      </c>
      <c r="L46" s="23">
        <v>0.0</v>
      </c>
      <c r="M46" s="25">
        <f t="shared" si="6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6">
        <f t="shared" si="7"/>
        <v>0</v>
      </c>
      <c r="T46" s="23">
        <v>0.0</v>
      </c>
      <c r="U46" s="23">
        <v>0.0</v>
      </c>
      <c r="V46" s="23">
        <v>0.0</v>
      </c>
      <c r="W46" s="23">
        <v>0.0</v>
      </c>
      <c r="X46" s="26">
        <f t="shared" si="8"/>
        <v>0</v>
      </c>
    </row>
    <row r="47">
      <c r="A47" s="20" t="s">
        <v>68</v>
      </c>
      <c r="B47" s="27">
        <v>0.0</v>
      </c>
      <c r="C47" s="23">
        <v>0.0</v>
      </c>
      <c r="D47" s="23">
        <v>0.0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5">
        <f t="shared" si="5"/>
        <v>0</v>
      </c>
      <c r="K47" s="23">
        <v>0.0</v>
      </c>
      <c r="L47" s="23">
        <v>0.0</v>
      </c>
      <c r="M47" s="25">
        <f t="shared" si="6"/>
        <v>0</v>
      </c>
      <c r="N47" s="23">
        <v>0.0</v>
      </c>
      <c r="O47" s="23">
        <v>0.0</v>
      </c>
      <c r="P47" s="23">
        <v>0.0</v>
      </c>
      <c r="Q47" s="23">
        <v>0.0</v>
      </c>
      <c r="R47" s="23">
        <v>0.0</v>
      </c>
      <c r="S47" s="26">
        <f t="shared" si="7"/>
        <v>0</v>
      </c>
      <c r="T47" s="23">
        <v>0.0</v>
      </c>
      <c r="U47" s="23">
        <v>0.0</v>
      </c>
      <c r="V47" s="23">
        <v>0.0</v>
      </c>
      <c r="W47" s="23">
        <v>0.0</v>
      </c>
      <c r="X47" s="26">
        <f t="shared" si="8"/>
        <v>0</v>
      </c>
    </row>
    <row r="48">
      <c r="A48" s="20" t="s">
        <v>69</v>
      </c>
      <c r="B48" s="21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5">
        <f t="shared" si="5"/>
        <v>0</v>
      </c>
      <c r="K48" s="23">
        <v>0.0</v>
      </c>
      <c r="L48" s="23">
        <v>0.0</v>
      </c>
      <c r="M48" s="25">
        <f t="shared" si="6"/>
        <v>0</v>
      </c>
      <c r="N48" s="23">
        <v>0.0</v>
      </c>
      <c r="O48" s="24">
        <v>0.0</v>
      </c>
      <c r="P48" s="23">
        <v>0.0</v>
      </c>
      <c r="Q48" s="23">
        <v>0.0</v>
      </c>
      <c r="R48" s="23">
        <v>0.0</v>
      </c>
      <c r="S48" s="26">
        <f t="shared" si="7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8"/>
        <v>0</v>
      </c>
    </row>
    <row r="49">
      <c r="A49" s="20" t="s">
        <v>70</v>
      </c>
      <c r="B49" s="21">
        <v>8.0</v>
      </c>
      <c r="C49" s="22">
        <v>0.0</v>
      </c>
      <c r="D49" s="23">
        <v>8.0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5">
        <f t="shared" si="5"/>
        <v>8</v>
      </c>
      <c r="K49" s="23">
        <v>7.0</v>
      </c>
      <c r="L49" s="24">
        <v>1.0</v>
      </c>
      <c r="M49" s="25">
        <f t="shared" si="6"/>
        <v>8</v>
      </c>
      <c r="N49" s="23">
        <v>3.0</v>
      </c>
      <c r="O49" s="22">
        <v>5.0</v>
      </c>
      <c r="P49" s="24">
        <v>0.0</v>
      </c>
      <c r="Q49" s="23">
        <v>0.0</v>
      </c>
      <c r="R49" s="22">
        <v>0.0</v>
      </c>
      <c r="S49" s="26">
        <f t="shared" si="7"/>
        <v>8</v>
      </c>
      <c r="T49" s="23">
        <v>6.0</v>
      </c>
      <c r="U49" s="23">
        <v>0.0</v>
      </c>
      <c r="V49" s="23">
        <v>2.0</v>
      </c>
      <c r="W49" s="24">
        <v>0.0</v>
      </c>
      <c r="X49" s="26">
        <f t="shared" si="8"/>
        <v>8</v>
      </c>
    </row>
    <row r="50">
      <c r="A50" s="20" t="s">
        <v>71</v>
      </c>
      <c r="B50" s="21">
        <v>132.0</v>
      </c>
      <c r="C50" s="22">
        <v>10.0</v>
      </c>
      <c r="D50" s="23">
        <v>116.0</v>
      </c>
      <c r="E50" s="23">
        <v>0.0</v>
      </c>
      <c r="F50" s="23">
        <v>0.0</v>
      </c>
      <c r="G50" s="23">
        <v>0.0</v>
      </c>
      <c r="H50" s="23">
        <v>3.0</v>
      </c>
      <c r="I50" s="23">
        <v>0.0</v>
      </c>
      <c r="J50" s="25">
        <f t="shared" si="5"/>
        <v>129</v>
      </c>
      <c r="K50" s="23">
        <v>96.0</v>
      </c>
      <c r="L50" s="23">
        <v>33.0</v>
      </c>
      <c r="M50" s="25">
        <f t="shared" si="6"/>
        <v>129</v>
      </c>
      <c r="N50" s="23">
        <v>15.0</v>
      </c>
      <c r="O50" s="22">
        <v>108.0</v>
      </c>
      <c r="P50" s="23">
        <v>5.0</v>
      </c>
      <c r="Q50" s="23">
        <v>1.0</v>
      </c>
      <c r="R50" s="24">
        <v>0.0</v>
      </c>
      <c r="S50" s="26">
        <f t="shared" si="7"/>
        <v>129</v>
      </c>
      <c r="T50" s="23">
        <v>94.0</v>
      </c>
      <c r="U50" s="23">
        <v>1.0</v>
      </c>
      <c r="V50" s="23">
        <v>24.0</v>
      </c>
      <c r="W50" s="23">
        <v>10.0</v>
      </c>
      <c r="X50" s="26">
        <f t="shared" si="8"/>
        <v>129</v>
      </c>
    </row>
    <row r="51">
      <c r="A51" s="20" t="s">
        <v>72</v>
      </c>
      <c r="B51" s="21">
        <v>1.0</v>
      </c>
      <c r="C51" s="22">
        <v>0.0</v>
      </c>
      <c r="D51" s="22">
        <v>1.0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5">
        <f t="shared" si="5"/>
        <v>1</v>
      </c>
      <c r="K51" s="22">
        <v>1.0</v>
      </c>
      <c r="L51" s="22">
        <v>0.0</v>
      </c>
      <c r="M51" s="25">
        <f t="shared" si="6"/>
        <v>1</v>
      </c>
      <c r="N51" s="22">
        <v>0.0</v>
      </c>
      <c r="O51" s="22">
        <v>0.0</v>
      </c>
      <c r="P51" s="22">
        <v>1.0</v>
      </c>
      <c r="Q51" s="22">
        <v>0.0</v>
      </c>
      <c r="R51" s="22">
        <v>0.0</v>
      </c>
      <c r="S51" s="26">
        <f t="shared" si="7"/>
        <v>1</v>
      </c>
      <c r="T51" s="22">
        <v>1.0</v>
      </c>
      <c r="U51" s="22">
        <v>0.0</v>
      </c>
      <c r="V51" s="22">
        <v>0.0</v>
      </c>
      <c r="W51" s="22">
        <v>0.0</v>
      </c>
      <c r="X51" s="26">
        <f t="shared" si="8"/>
        <v>1</v>
      </c>
    </row>
    <row r="52">
      <c r="A52" s="20" t="s">
        <v>73</v>
      </c>
      <c r="B52" s="31">
        <v>0.0</v>
      </c>
      <c r="C52" s="31">
        <v>0.0</v>
      </c>
      <c r="D52" s="31">
        <v>0.0</v>
      </c>
      <c r="E52" s="31">
        <v>0.0</v>
      </c>
      <c r="F52" s="31">
        <v>0.0</v>
      </c>
      <c r="G52" s="31">
        <v>0.0</v>
      </c>
      <c r="H52" s="31">
        <v>0.0</v>
      </c>
      <c r="I52" s="31">
        <v>0.0</v>
      </c>
      <c r="J52" s="25">
        <f t="shared" si="5"/>
        <v>0</v>
      </c>
      <c r="K52" s="32">
        <v>0.0</v>
      </c>
      <c r="L52" s="32">
        <v>0.0</v>
      </c>
      <c r="M52" s="25">
        <f t="shared" si="6"/>
        <v>0</v>
      </c>
      <c r="N52" s="32">
        <v>0.0</v>
      </c>
      <c r="O52" s="32">
        <v>0.0</v>
      </c>
      <c r="P52" s="32">
        <v>0.0</v>
      </c>
      <c r="Q52" s="32">
        <v>0.0</v>
      </c>
      <c r="R52" s="32">
        <v>0.0</v>
      </c>
      <c r="S52" s="26">
        <f t="shared" si="7"/>
        <v>0</v>
      </c>
      <c r="T52" s="31">
        <v>0.0</v>
      </c>
      <c r="U52" s="31">
        <v>0.0</v>
      </c>
      <c r="V52" s="31">
        <v>0.0</v>
      </c>
      <c r="W52" s="31">
        <v>0.0</v>
      </c>
      <c r="X52" s="26">
        <f t="shared" si="8"/>
        <v>0</v>
      </c>
    </row>
    <row r="53">
      <c r="A53" s="20" t="s">
        <v>74</v>
      </c>
      <c r="B53" s="31">
        <v>13.0</v>
      </c>
      <c r="C53" s="31">
        <v>0.0</v>
      </c>
      <c r="D53" s="31">
        <v>13.0</v>
      </c>
      <c r="E53" s="31">
        <v>0.0</v>
      </c>
      <c r="F53" s="31">
        <v>0.0</v>
      </c>
      <c r="G53" s="31">
        <v>0.0</v>
      </c>
      <c r="H53" s="31">
        <v>0.0</v>
      </c>
      <c r="I53" s="31">
        <v>0.0</v>
      </c>
      <c r="J53" s="25">
        <f t="shared" si="5"/>
        <v>13</v>
      </c>
      <c r="K53" s="31">
        <v>13.0</v>
      </c>
      <c r="L53" s="31">
        <v>0.0</v>
      </c>
      <c r="M53" s="25">
        <f t="shared" si="6"/>
        <v>13</v>
      </c>
      <c r="N53" s="31">
        <v>11.0</v>
      </c>
      <c r="O53" s="31">
        <v>1.0</v>
      </c>
      <c r="P53" s="31">
        <v>1.0</v>
      </c>
      <c r="Q53" s="31">
        <v>0.0</v>
      </c>
      <c r="R53" s="31">
        <v>0.0</v>
      </c>
      <c r="S53" s="26">
        <f t="shared" si="7"/>
        <v>13</v>
      </c>
      <c r="T53" s="31">
        <v>6.0</v>
      </c>
      <c r="U53" s="31">
        <v>0.0</v>
      </c>
      <c r="V53" s="31">
        <v>6.0</v>
      </c>
      <c r="W53" s="31">
        <v>1.0</v>
      </c>
      <c r="X53" s="26">
        <f t="shared" si="8"/>
        <v>13</v>
      </c>
    </row>
    <row r="54">
      <c r="A54" s="20" t="s">
        <v>75</v>
      </c>
      <c r="B54" s="31"/>
      <c r="C54" s="31"/>
      <c r="D54" s="31"/>
      <c r="E54" s="31"/>
      <c r="F54" s="31"/>
      <c r="G54" s="31"/>
      <c r="H54" s="31"/>
      <c r="I54" s="31"/>
      <c r="J54" s="25"/>
      <c r="K54" s="31"/>
      <c r="L54" s="31"/>
      <c r="M54" s="25"/>
      <c r="N54" s="31"/>
      <c r="O54" s="31"/>
      <c r="P54" s="31"/>
      <c r="Q54" s="31"/>
      <c r="R54" s="31"/>
      <c r="S54" s="26"/>
      <c r="T54" s="31"/>
      <c r="U54" s="31"/>
      <c r="V54" s="31"/>
      <c r="W54" s="31"/>
      <c r="X54" s="26"/>
    </row>
    <row r="55">
      <c r="A55" s="20" t="s">
        <v>76</v>
      </c>
      <c r="B55" s="31">
        <v>0.0</v>
      </c>
      <c r="C55" s="31">
        <v>0.0</v>
      </c>
      <c r="D55" s="31">
        <v>0.0</v>
      </c>
      <c r="E55" s="31">
        <v>0.0</v>
      </c>
      <c r="F55" s="31">
        <v>0.0</v>
      </c>
      <c r="G55" s="31">
        <v>0.0</v>
      </c>
      <c r="H55" s="31">
        <v>0.0</v>
      </c>
      <c r="I55" s="31">
        <v>0.0</v>
      </c>
      <c r="J55" s="25">
        <f t="shared" ref="J55:J65" si="9">sum(C55:I55)</f>
        <v>0</v>
      </c>
      <c r="K55" s="31">
        <v>0.0</v>
      </c>
      <c r="L55" s="31">
        <v>0.0</v>
      </c>
      <c r="M55" s="25">
        <f t="shared" ref="M55:M65" si="10">sum(K55:L55)</f>
        <v>0</v>
      </c>
      <c r="N55" s="31">
        <v>0.0</v>
      </c>
      <c r="O55" s="31">
        <v>0.0</v>
      </c>
      <c r="P55" s="31">
        <v>0.0</v>
      </c>
      <c r="Q55" s="31">
        <v>0.0</v>
      </c>
      <c r="R55" s="31">
        <v>0.0</v>
      </c>
      <c r="S55" s="26">
        <f t="shared" ref="S55:S65" si="11">sum(N55:R55)</f>
        <v>0</v>
      </c>
      <c r="T55" s="31">
        <v>0.0</v>
      </c>
      <c r="U55" s="31">
        <v>0.0</v>
      </c>
      <c r="V55" s="31">
        <v>0.0</v>
      </c>
      <c r="W55" s="31">
        <v>0.0</v>
      </c>
      <c r="X55" s="26">
        <f t="shared" ref="X55:X65" si="12">sum(T55:W55)</f>
        <v>0</v>
      </c>
    </row>
    <row r="56">
      <c r="A56" s="20" t="s">
        <v>77</v>
      </c>
      <c r="B56" s="31">
        <v>1.0</v>
      </c>
      <c r="C56" s="31">
        <v>0.0</v>
      </c>
      <c r="D56" s="31">
        <v>0.0</v>
      </c>
      <c r="E56" s="31">
        <v>1.0</v>
      </c>
      <c r="F56" s="31">
        <v>0.0</v>
      </c>
      <c r="G56" s="31">
        <v>0.0</v>
      </c>
      <c r="H56" s="31">
        <v>0.0</v>
      </c>
      <c r="I56" s="31">
        <v>0.0</v>
      </c>
      <c r="J56" s="25">
        <f t="shared" si="9"/>
        <v>1</v>
      </c>
      <c r="K56" s="31">
        <v>0.0</v>
      </c>
      <c r="L56" s="31">
        <v>1.0</v>
      </c>
      <c r="M56" s="25">
        <f t="shared" si="10"/>
        <v>1</v>
      </c>
      <c r="N56" s="31">
        <v>1.0</v>
      </c>
      <c r="O56" s="31">
        <v>0.0</v>
      </c>
      <c r="P56" s="31">
        <v>0.0</v>
      </c>
      <c r="Q56" s="31">
        <v>0.0</v>
      </c>
      <c r="R56" s="31">
        <v>0.0</v>
      </c>
      <c r="S56" s="26">
        <f t="shared" si="11"/>
        <v>1</v>
      </c>
      <c r="T56" s="31">
        <v>0.0</v>
      </c>
      <c r="U56" s="31">
        <v>0.0</v>
      </c>
      <c r="V56" s="31">
        <v>1.0</v>
      </c>
      <c r="W56" s="31">
        <v>0.0</v>
      </c>
      <c r="X56" s="26">
        <f t="shared" si="12"/>
        <v>1</v>
      </c>
    </row>
    <row r="57">
      <c r="A57" s="20" t="s">
        <v>78</v>
      </c>
      <c r="B57" s="34">
        <v>2.0</v>
      </c>
      <c r="C57" s="31">
        <v>0.0</v>
      </c>
      <c r="D57" s="31">
        <v>2.0</v>
      </c>
      <c r="E57" s="31">
        <v>0.0</v>
      </c>
      <c r="F57" s="31">
        <v>0.0</v>
      </c>
      <c r="G57" s="31">
        <v>0.0</v>
      </c>
      <c r="H57" s="31">
        <v>0.0</v>
      </c>
      <c r="I57" s="31">
        <v>0.0</v>
      </c>
      <c r="J57" s="25">
        <f t="shared" si="9"/>
        <v>2</v>
      </c>
      <c r="K57" s="31">
        <v>1.0</v>
      </c>
      <c r="L57" s="31">
        <v>1.0</v>
      </c>
      <c r="M57" s="25">
        <f t="shared" si="10"/>
        <v>2</v>
      </c>
      <c r="N57" s="31">
        <v>1.0</v>
      </c>
      <c r="O57" s="31">
        <v>1.0</v>
      </c>
      <c r="P57" s="31">
        <v>0.0</v>
      </c>
      <c r="Q57" s="31">
        <v>0.0</v>
      </c>
      <c r="R57" s="31">
        <v>0.0</v>
      </c>
      <c r="S57" s="26">
        <f t="shared" si="11"/>
        <v>2</v>
      </c>
      <c r="T57" s="31">
        <v>1.0</v>
      </c>
      <c r="U57" s="31">
        <v>0.0</v>
      </c>
      <c r="V57" s="31">
        <v>1.0</v>
      </c>
      <c r="W57" s="31">
        <v>0.0</v>
      </c>
      <c r="X57" s="26">
        <f t="shared" si="12"/>
        <v>2</v>
      </c>
    </row>
    <row r="58">
      <c r="A58" s="20" t="s">
        <v>79</v>
      </c>
      <c r="B58" s="31">
        <v>0.0</v>
      </c>
      <c r="C58" s="31">
        <v>0.0</v>
      </c>
      <c r="D58" s="31">
        <v>0.0</v>
      </c>
      <c r="E58" s="31">
        <v>0.0</v>
      </c>
      <c r="F58" s="31">
        <v>0.0</v>
      </c>
      <c r="G58" s="31">
        <v>0.0</v>
      </c>
      <c r="H58" s="31">
        <v>0.0</v>
      </c>
      <c r="I58" s="31">
        <v>0.0</v>
      </c>
      <c r="J58" s="25">
        <f t="shared" si="9"/>
        <v>0</v>
      </c>
      <c r="K58" s="31">
        <v>0.0</v>
      </c>
      <c r="L58" s="31">
        <v>0.0</v>
      </c>
      <c r="M58" s="25">
        <f t="shared" si="10"/>
        <v>0</v>
      </c>
      <c r="N58" s="31">
        <v>0.0</v>
      </c>
      <c r="O58" s="31">
        <v>0.0</v>
      </c>
      <c r="P58" s="31">
        <v>0.0</v>
      </c>
      <c r="Q58" s="31">
        <v>0.0</v>
      </c>
      <c r="R58" s="31">
        <v>0.0</v>
      </c>
      <c r="S58" s="26">
        <f t="shared" si="11"/>
        <v>0</v>
      </c>
      <c r="T58" s="31">
        <v>0.0</v>
      </c>
      <c r="U58" s="31">
        <v>0.0</v>
      </c>
      <c r="V58" s="31">
        <v>0.0</v>
      </c>
      <c r="W58" s="31">
        <v>0.0</v>
      </c>
      <c r="X58" s="26">
        <f t="shared" si="12"/>
        <v>0</v>
      </c>
    </row>
    <row r="59">
      <c r="A59" s="20" t="s">
        <v>80</v>
      </c>
      <c r="B59" s="31">
        <v>9.0</v>
      </c>
      <c r="C59" s="31">
        <v>0.0</v>
      </c>
      <c r="D59" s="31">
        <v>9.0</v>
      </c>
      <c r="E59" s="31">
        <v>0.0</v>
      </c>
      <c r="F59" s="31">
        <v>0.0</v>
      </c>
      <c r="G59" s="31">
        <v>0.0</v>
      </c>
      <c r="H59" s="31">
        <v>0.0</v>
      </c>
      <c r="I59" s="31">
        <v>0.0</v>
      </c>
      <c r="J59" s="25">
        <f t="shared" si="9"/>
        <v>9</v>
      </c>
      <c r="K59" s="31">
        <v>5.0</v>
      </c>
      <c r="L59" s="31">
        <v>4.0</v>
      </c>
      <c r="M59" s="25">
        <f t="shared" si="10"/>
        <v>9</v>
      </c>
      <c r="N59" s="31">
        <v>3.0</v>
      </c>
      <c r="O59" s="31">
        <v>6.0</v>
      </c>
      <c r="P59" s="31">
        <v>0.0</v>
      </c>
      <c r="Q59" s="31">
        <v>0.0</v>
      </c>
      <c r="R59" s="31">
        <v>0.0</v>
      </c>
      <c r="S59" s="26">
        <f t="shared" si="11"/>
        <v>9</v>
      </c>
      <c r="T59" s="31">
        <v>5.0</v>
      </c>
      <c r="U59" s="31">
        <v>0.0</v>
      </c>
      <c r="V59" s="31">
        <v>4.0</v>
      </c>
      <c r="W59" s="31">
        <v>0.0</v>
      </c>
      <c r="X59" s="26">
        <f t="shared" si="12"/>
        <v>9</v>
      </c>
    </row>
    <row r="60">
      <c r="A60" s="20" t="s">
        <v>81</v>
      </c>
      <c r="B60" s="31">
        <v>0.0</v>
      </c>
      <c r="C60" s="31">
        <v>0.0</v>
      </c>
      <c r="D60" s="31">
        <v>0.0</v>
      </c>
      <c r="E60" s="31">
        <v>0.0</v>
      </c>
      <c r="F60" s="31">
        <v>0.0</v>
      </c>
      <c r="G60" s="31">
        <v>0.0</v>
      </c>
      <c r="H60" s="31">
        <v>0.0</v>
      </c>
      <c r="I60" s="31">
        <v>0.0</v>
      </c>
      <c r="J60" s="25">
        <f t="shared" si="9"/>
        <v>0</v>
      </c>
      <c r="K60" s="31">
        <v>0.0</v>
      </c>
      <c r="L60" s="31">
        <v>0.0</v>
      </c>
      <c r="M60" s="25">
        <f t="shared" si="10"/>
        <v>0</v>
      </c>
      <c r="N60" s="31">
        <v>0.0</v>
      </c>
      <c r="O60" s="31">
        <v>0.0</v>
      </c>
      <c r="P60" s="31">
        <v>0.0</v>
      </c>
      <c r="Q60" s="31">
        <v>0.0</v>
      </c>
      <c r="R60" s="31">
        <v>0.0</v>
      </c>
      <c r="S60" s="26">
        <f t="shared" si="11"/>
        <v>0</v>
      </c>
      <c r="T60" s="31">
        <v>0.0</v>
      </c>
      <c r="U60" s="31">
        <v>0.0</v>
      </c>
      <c r="V60" s="31">
        <v>0.0</v>
      </c>
      <c r="W60" s="31">
        <v>0.0</v>
      </c>
      <c r="X60" s="26">
        <f t="shared" si="12"/>
        <v>0</v>
      </c>
    </row>
    <row r="61">
      <c r="A61" s="20" t="s">
        <v>82</v>
      </c>
      <c r="B61" s="31">
        <v>5.0</v>
      </c>
      <c r="C61" s="31">
        <v>0.0</v>
      </c>
      <c r="D61" s="31">
        <v>5.0</v>
      </c>
      <c r="E61" s="31">
        <v>0.0</v>
      </c>
      <c r="F61" s="31">
        <v>0.0</v>
      </c>
      <c r="G61" s="31">
        <v>0.0</v>
      </c>
      <c r="H61" s="31">
        <v>0.0</v>
      </c>
      <c r="I61" s="31">
        <v>0.0</v>
      </c>
      <c r="J61" s="25">
        <f t="shared" si="9"/>
        <v>5</v>
      </c>
      <c r="K61" s="31">
        <v>5.0</v>
      </c>
      <c r="L61" s="31">
        <v>0.0</v>
      </c>
      <c r="M61" s="25">
        <f t="shared" si="10"/>
        <v>5</v>
      </c>
      <c r="N61" s="31">
        <v>0.0</v>
      </c>
      <c r="O61" s="31">
        <v>4.0</v>
      </c>
      <c r="P61" s="31">
        <v>1.0</v>
      </c>
      <c r="Q61" s="31">
        <v>0.0</v>
      </c>
      <c r="R61" s="31">
        <v>0.0</v>
      </c>
      <c r="S61" s="26">
        <f t="shared" si="11"/>
        <v>5</v>
      </c>
      <c r="T61" s="31">
        <v>5.0</v>
      </c>
      <c r="U61" s="31">
        <v>0.0</v>
      </c>
      <c r="V61" s="31">
        <v>0.0</v>
      </c>
      <c r="W61" s="31">
        <v>0.0</v>
      </c>
      <c r="X61" s="26">
        <f t="shared" si="12"/>
        <v>5</v>
      </c>
    </row>
    <row r="62">
      <c r="A62" s="20" t="s">
        <v>83</v>
      </c>
      <c r="B62" s="31">
        <v>3.0</v>
      </c>
      <c r="C62" s="31">
        <v>0.0</v>
      </c>
      <c r="D62" s="31">
        <v>3.0</v>
      </c>
      <c r="E62" s="31">
        <v>0.0</v>
      </c>
      <c r="F62" s="31">
        <v>0.0</v>
      </c>
      <c r="G62" s="31">
        <v>0.0</v>
      </c>
      <c r="H62" s="31">
        <v>0.0</v>
      </c>
      <c r="I62" s="31">
        <v>0.0</v>
      </c>
      <c r="J62" s="25">
        <f t="shared" si="9"/>
        <v>3</v>
      </c>
      <c r="K62" s="31">
        <v>3.0</v>
      </c>
      <c r="L62" s="31">
        <v>0.0</v>
      </c>
      <c r="M62" s="25">
        <f t="shared" si="10"/>
        <v>3</v>
      </c>
      <c r="N62" s="31">
        <v>0.0</v>
      </c>
      <c r="O62" s="31">
        <v>3.0</v>
      </c>
      <c r="P62" s="31">
        <v>0.0</v>
      </c>
      <c r="Q62" s="31">
        <v>0.0</v>
      </c>
      <c r="R62" s="31">
        <v>0.0</v>
      </c>
      <c r="S62" s="26">
        <f t="shared" si="11"/>
        <v>3</v>
      </c>
      <c r="T62" s="31">
        <v>3.0</v>
      </c>
      <c r="U62" s="31">
        <v>0.0</v>
      </c>
      <c r="V62" s="31">
        <v>0.0</v>
      </c>
      <c r="W62" s="31">
        <v>0.0</v>
      </c>
      <c r="X62" s="26">
        <f t="shared" si="12"/>
        <v>3</v>
      </c>
    </row>
    <row r="63">
      <c r="A63" s="20" t="s">
        <v>84</v>
      </c>
      <c r="B63" s="31">
        <v>8.0</v>
      </c>
      <c r="C63" s="31">
        <v>0.0</v>
      </c>
      <c r="D63" s="31">
        <v>8.0</v>
      </c>
      <c r="E63" s="31">
        <v>0.0</v>
      </c>
      <c r="F63" s="31">
        <v>0.0</v>
      </c>
      <c r="G63" s="31">
        <v>0.0</v>
      </c>
      <c r="H63" s="31">
        <v>0.0</v>
      </c>
      <c r="I63" s="31">
        <v>0.0</v>
      </c>
      <c r="J63" s="25">
        <f t="shared" si="9"/>
        <v>8</v>
      </c>
      <c r="K63" s="31">
        <v>8.0</v>
      </c>
      <c r="L63" s="31">
        <v>0.0</v>
      </c>
      <c r="M63" s="25">
        <f t="shared" si="10"/>
        <v>8</v>
      </c>
      <c r="N63" s="31">
        <v>4.0</v>
      </c>
      <c r="O63" s="31">
        <v>3.0</v>
      </c>
      <c r="P63" s="31">
        <v>1.0</v>
      </c>
      <c r="Q63" s="31">
        <v>0.0</v>
      </c>
      <c r="R63" s="31">
        <v>0.0</v>
      </c>
      <c r="S63" s="26">
        <f t="shared" si="11"/>
        <v>8</v>
      </c>
      <c r="T63" s="31">
        <v>5.0</v>
      </c>
      <c r="U63" s="31">
        <v>3.0</v>
      </c>
      <c r="V63" s="31">
        <v>0.0</v>
      </c>
      <c r="W63" s="31">
        <v>0.0</v>
      </c>
      <c r="X63" s="26">
        <f t="shared" si="12"/>
        <v>8</v>
      </c>
    </row>
    <row r="64">
      <c r="A64" s="20" t="s">
        <v>85</v>
      </c>
      <c r="B64" s="31">
        <v>33.0</v>
      </c>
      <c r="C64" s="31">
        <v>1.0</v>
      </c>
      <c r="D64" s="31">
        <v>31.0</v>
      </c>
      <c r="E64" s="31">
        <v>0.0</v>
      </c>
      <c r="F64" s="31">
        <v>0.0</v>
      </c>
      <c r="G64" s="31">
        <v>0.0</v>
      </c>
      <c r="H64" s="31">
        <v>1.0</v>
      </c>
      <c r="I64" s="31">
        <v>0.0</v>
      </c>
      <c r="J64" s="25">
        <f t="shared" si="9"/>
        <v>33</v>
      </c>
      <c r="K64" s="31">
        <v>31.0</v>
      </c>
      <c r="L64" s="31">
        <v>2.0</v>
      </c>
      <c r="M64" s="25">
        <f t="shared" si="10"/>
        <v>33</v>
      </c>
      <c r="N64" s="31">
        <v>9.0</v>
      </c>
      <c r="O64" s="31">
        <v>23.0</v>
      </c>
      <c r="P64" s="31">
        <v>1.0</v>
      </c>
      <c r="Q64" s="31">
        <v>0.0</v>
      </c>
      <c r="R64" s="31">
        <v>0.0</v>
      </c>
      <c r="S64" s="26">
        <f t="shared" si="11"/>
        <v>33</v>
      </c>
      <c r="T64" s="31">
        <v>23.0</v>
      </c>
      <c r="U64" s="31">
        <v>7.0</v>
      </c>
      <c r="V64" s="31">
        <v>2.0</v>
      </c>
      <c r="W64" s="31">
        <v>1.0</v>
      </c>
      <c r="X64" s="26">
        <f t="shared" si="12"/>
        <v>33</v>
      </c>
    </row>
    <row r="65">
      <c r="A65" s="20" t="s">
        <v>86</v>
      </c>
      <c r="B65" s="31">
        <v>0.0</v>
      </c>
      <c r="C65" s="31">
        <v>0.0</v>
      </c>
      <c r="D65" s="31">
        <v>0.0</v>
      </c>
      <c r="E65" s="31">
        <v>0.0</v>
      </c>
      <c r="F65" s="31">
        <v>0.0</v>
      </c>
      <c r="G65" s="31">
        <v>0.0</v>
      </c>
      <c r="H65" s="31">
        <v>0.0</v>
      </c>
      <c r="I65" s="31">
        <v>0.0</v>
      </c>
      <c r="J65" s="25">
        <f t="shared" si="9"/>
        <v>0</v>
      </c>
      <c r="K65" s="31">
        <v>0.0</v>
      </c>
      <c r="L65" s="31">
        <v>0.0</v>
      </c>
      <c r="M65" s="25">
        <f t="shared" si="10"/>
        <v>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26">
        <f t="shared" si="11"/>
        <v>0</v>
      </c>
      <c r="T65" s="31">
        <v>0.0</v>
      </c>
      <c r="U65" s="31">
        <v>0.0</v>
      </c>
      <c r="V65" s="31">
        <v>0.0</v>
      </c>
      <c r="W65" s="31">
        <v>0.0</v>
      </c>
      <c r="X65" s="26">
        <f t="shared" si="12"/>
        <v>0</v>
      </c>
    </row>
    <row r="66">
      <c r="A66" s="31" t="s">
        <v>13</v>
      </c>
      <c r="B66" s="35">
        <f t="shared" ref="B66:X66" si="13">SUM(B4:B65)</f>
        <v>662</v>
      </c>
      <c r="C66" s="35">
        <f t="shared" si="13"/>
        <v>18</v>
      </c>
      <c r="D66" s="35">
        <f t="shared" si="13"/>
        <v>623</v>
      </c>
      <c r="E66" s="35">
        <f t="shared" si="13"/>
        <v>4</v>
      </c>
      <c r="F66" s="35">
        <f t="shared" si="13"/>
        <v>0</v>
      </c>
      <c r="G66" s="35">
        <f t="shared" si="13"/>
        <v>1</v>
      </c>
      <c r="H66" s="35">
        <f t="shared" si="13"/>
        <v>7</v>
      </c>
      <c r="I66" s="35">
        <f t="shared" si="13"/>
        <v>3</v>
      </c>
      <c r="J66" s="35">
        <f t="shared" si="13"/>
        <v>656</v>
      </c>
      <c r="K66" s="35">
        <f t="shared" si="13"/>
        <v>559</v>
      </c>
      <c r="L66" s="35">
        <f t="shared" si="13"/>
        <v>97</v>
      </c>
      <c r="M66" s="35">
        <f t="shared" si="13"/>
        <v>656</v>
      </c>
      <c r="N66" s="35">
        <f t="shared" si="13"/>
        <v>177</v>
      </c>
      <c r="O66" s="35">
        <f t="shared" si="13"/>
        <v>351</v>
      </c>
      <c r="P66" s="35">
        <f t="shared" si="13"/>
        <v>119</v>
      </c>
      <c r="Q66" s="35">
        <f t="shared" si="13"/>
        <v>5</v>
      </c>
      <c r="R66" s="35">
        <f t="shared" si="13"/>
        <v>4</v>
      </c>
      <c r="S66" s="35">
        <f t="shared" si="13"/>
        <v>656</v>
      </c>
      <c r="T66" s="35">
        <f t="shared" si="13"/>
        <v>479</v>
      </c>
      <c r="U66" s="35">
        <f t="shared" si="13"/>
        <v>19</v>
      </c>
      <c r="V66" s="35">
        <f t="shared" si="13"/>
        <v>110</v>
      </c>
      <c r="W66" s="35">
        <f t="shared" si="13"/>
        <v>48</v>
      </c>
      <c r="X66" s="35">
        <f t="shared" si="13"/>
        <v>656</v>
      </c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68.0</v>
      </c>
      <c r="C4" s="22">
        <v>0.0</v>
      </c>
      <c r="D4" s="22">
        <v>67.0</v>
      </c>
      <c r="E4" s="22">
        <v>1.0</v>
      </c>
      <c r="F4" s="22">
        <v>0.0</v>
      </c>
      <c r="G4" s="22">
        <v>0.0</v>
      </c>
      <c r="H4" s="22">
        <v>0.0</v>
      </c>
      <c r="I4" s="22">
        <v>0.0</v>
      </c>
      <c r="J4" s="25">
        <f t="shared" ref="J4:J38" si="1">sum(C4:I4)</f>
        <v>68</v>
      </c>
      <c r="K4" s="23">
        <v>45.0</v>
      </c>
      <c r="L4" s="23">
        <v>23.0</v>
      </c>
      <c r="M4" s="25">
        <f t="shared" ref="M4:M38" si="2">sum(K4:L4)</f>
        <v>68</v>
      </c>
      <c r="N4" s="23">
        <v>43.0</v>
      </c>
      <c r="O4" s="23">
        <v>18.0</v>
      </c>
      <c r="P4" s="23">
        <v>5.0</v>
      </c>
      <c r="Q4" s="23">
        <v>0.0</v>
      </c>
      <c r="R4" s="23">
        <v>2.0</v>
      </c>
      <c r="S4" s="26">
        <f t="shared" ref="S4:S38" si="3">sum(N4:R4)</f>
        <v>68</v>
      </c>
      <c r="T4" s="23">
        <v>45.0</v>
      </c>
      <c r="U4" s="23">
        <v>0.0</v>
      </c>
      <c r="V4" s="23">
        <v>17.0</v>
      </c>
      <c r="W4" s="23">
        <v>6.0</v>
      </c>
      <c r="X4" s="26">
        <f t="shared" ref="X4:X38" si="4">sum(T4:W4)</f>
        <v>68</v>
      </c>
    </row>
    <row r="5">
      <c r="A5" s="20" t="s">
        <v>26</v>
      </c>
      <c r="B5" s="21">
        <v>0.0</v>
      </c>
      <c r="C5" s="22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5">
        <f t="shared" si="1"/>
        <v>0</v>
      </c>
      <c r="K5" s="23">
        <v>0.0</v>
      </c>
      <c r="L5" s="23">
        <v>0.0</v>
      </c>
      <c r="M5" s="25">
        <f t="shared" si="2"/>
        <v>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6">
        <f t="shared" si="3"/>
        <v>0</v>
      </c>
      <c r="T5" s="23">
        <v>0.0</v>
      </c>
      <c r="U5" s="23">
        <v>0.0</v>
      </c>
      <c r="V5" s="23">
        <v>0.0</v>
      </c>
      <c r="W5" s="23">
        <v>0.0</v>
      </c>
      <c r="X5" s="26">
        <f t="shared" si="4"/>
        <v>0</v>
      </c>
    </row>
    <row r="6">
      <c r="A6" s="20" t="s">
        <v>27</v>
      </c>
      <c r="B6" s="21">
        <v>0.0</v>
      </c>
      <c r="C6" s="22">
        <v>0.0</v>
      </c>
      <c r="D6" s="22">
        <v>0.0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5">
        <f t="shared" si="1"/>
        <v>0</v>
      </c>
      <c r="K6" s="23">
        <v>0.0</v>
      </c>
      <c r="L6" s="23">
        <v>0.0</v>
      </c>
      <c r="M6" s="25">
        <f t="shared" si="2"/>
        <v>0</v>
      </c>
      <c r="N6" s="23">
        <v>0.0</v>
      </c>
      <c r="O6" s="23">
        <v>0.0</v>
      </c>
      <c r="P6" s="23">
        <v>0.0</v>
      </c>
      <c r="Q6" s="23">
        <v>0.0</v>
      </c>
      <c r="R6" s="23">
        <v>0.0</v>
      </c>
      <c r="S6" s="26">
        <f t="shared" si="3"/>
        <v>0</v>
      </c>
      <c r="T6" s="23">
        <v>0.0</v>
      </c>
      <c r="U6" s="23">
        <v>0.0</v>
      </c>
      <c r="V6" s="23">
        <v>0.0</v>
      </c>
      <c r="W6" s="23">
        <v>0.0</v>
      </c>
      <c r="X6" s="26">
        <f t="shared" si="4"/>
        <v>0</v>
      </c>
    </row>
    <row r="7">
      <c r="A7" s="20" t="s">
        <v>28</v>
      </c>
      <c r="B7" s="21">
        <v>9.0</v>
      </c>
      <c r="C7" s="22">
        <v>0.0</v>
      </c>
      <c r="D7" s="22">
        <v>9.0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5">
        <f t="shared" si="1"/>
        <v>9</v>
      </c>
      <c r="K7" s="23">
        <v>8.0</v>
      </c>
      <c r="L7" s="23">
        <v>1.0</v>
      </c>
      <c r="M7" s="25">
        <f t="shared" si="2"/>
        <v>9</v>
      </c>
      <c r="N7" s="23">
        <v>0.0</v>
      </c>
      <c r="O7" s="23">
        <v>5.0</v>
      </c>
      <c r="P7" s="23">
        <v>2.0</v>
      </c>
      <c r="Q7" s="23">
        <v>2.0</v>
      </c>
      <c r="R7" s="23">
        <v>0.0</v>
      </c>
      <c r="S7" s="26">
        <f t="shared" si="3"/>
        <v>9</v>
      </c>
      <c r="T7" s="23">
        <v>3.0</v>
      </c>
      <c r="U7" s="23">
        <v>0.0</v>
      </c>
      <c r="V7" s="23">
        <v>2.0</v>
      </c>
      <c r="W7" s="23">
        <v>4.0</v>
      </c>
      <c r="X7" s="26">
        <f t="shared" si="4"/>
        <v>9</v>
      </c>
    </row>
    <row r="8">
      <c r="A8" s="20" t="s">
        <v>29</v>
      </c>
      <c r="B8" s="21">
        <v>0.0</v>
      </c>
      <c r="C8" s="22">
        <v>0.0</v>
      </c>
      <c r="D8" s="22">
        <v>0.0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5">
        <f t="shared" si="1"/>
        <v>0</v>
      </c>
      <c r="K8" s="23">
        <v>0.0</v>
      </c>
      <c r="L8" s="23">
        <v>0.0</v>
      </c>
      <c r="M8" s="25">
        <f t="shared" si="2"/>
        <v>0</v>
      </c>
      <c r="N8" s="23">
        <v>0.0</v>
      </c>
      <c r="O8" s="23">
        <v>0.0</v>
      </c>
      <c r="P8" s="23">
        <v>0.0</v>
      </c>
      <c r="Q8" s="23">
        <v>0.0</v>
      </c>
      <c r="R8" s="23">
        <v>0.0</v>
      </c>
      <c r="S8" s="26">
        <f t="shared" si="3"/>
        <v>0</v>
      </c>
      <c r="T8" s="23">
        <v>0.0</v>
      </c>
      <c r="U8" s="23">
        <v>0.0</v>
      </c>
      <c r="V8" s="23">
        <v>0.0</v>
      </c>
      <c r="W8" s="23">
        <v>0.0</v>
      </c>
      <c r="X8" s="26">
        <f t="shared" si="4"/>
        <v>0</v>
      </c>
    </row>
    <row r="9">
      <c r="A9" s="20" t="s">
        <v>30</v>
      </c>
      <c r="B9" s="21">
        <v>0.0</v>
      </c>
      <c r="C9" s="22">
        <v>0.0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5">
        <f t="shared" si="1"/>
        <v>0</v>
      </c>
      <c r="K9" s="23">
        <v>0.0</v>
      </c>
      <c r="L9" s="23">
        <v>0.0</v>
      </c>
      <c r="M9" s="25">
        <f t="shared" si="2"/>
        <v>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6">
        <f t="shared" si="3"/>
        <v>0</v>
      </c>
      <c r="T9" s="23">
        <v>0.0</v>
      </c>
      <c r="U9" s="23">
        <v>0.0</v>
      </c>
      <c r="V9" s="23">
        <v>0.0</v>
      </c>
      <c r="W9" s="23">
        <v>0.0</v>
      </c>
      <c r="X9" s="26">
        <f t="shared" si="4"/>
        <v>0</v>
      </c>
    </row>
    <row r="10">
      <c r="A10" s="20" t="s">
        <v>31</v>
      </c>
      <c r="B10" s="21">
        <v>0.0</v>
      </c>
      <c r="C10" s="22">
        <v>0.0</v>
      </c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5">
        <f t="shared" si="1"/>
        <v>0</v>
      </c>
      <c r="K10" s="23">
        <v>0.0</v>
      </c>
      <c r="L10" s="23">
        <v>0.0</v>
      </c>
      <c r="M10" s="25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6">
        <f t="shared" si="3"/>
        <v>0</v>
      </c>
      <c r="T10" s="23">
        <v>0.0</v>
      </c>
      <c r="U10" s="23">
        <v>0.0</v>
      </c>
      <c r="V10" s="23">
        <v>0.0</v>
      </c>
      <c r="W10" s="23">
        <v>0.0</v>
      </c>
      <c r="X10" s="26">
        <f t="shared" si="4"/>
        <v>0</v>
      </c>
    </row>
    <row r="11">
      <c r="A11" s="20" t="s">
        <v>32</v>
      </c>
      <c r="B11" s="21">
        <v>0.0</v>
      </c>
      <c r="C11" s="22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15.0</v>
      </c>
      <c r="C12" s="22">
        <v>1.0</v>
      </c>
      <c r="D12" s="22">
        <v>14.0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5">
        <f t="shared" si="1"/>
        <v>15</v>
      </c>
      <c r="K12" s="23">
        <v>15.0</v>
      </c>
      <c r="L12" s="23">
        <v>0.0</v>
      </c>
      <c r="M12" s="25">
        <f t="shared" si="2"/>
        <v>15</v>
      </c>
      <c r="N12" s="23">
        <v>4.0</v>
      </c>
      <c r="O12" s="23">
        <v>4.0</v>
      </c>
      <c r="P12" s="23">
        <v>5.0</v>
      </c>
      <c r="Q12" s="23">
        <v>2.0</v>
      </c>
      <c r="R12" s="23">
        <v>0.0</v>
      </c>
      <c r="S12" s="26">
        <f t="shared" si="3"/>
        <v>15</v>
      </c>
      <c r="T12" s="23">
        <v>12.0</v>
      </c>
      <c r="U12" s="23">
        <v>1.0</v>
      </c>
      <c r="V12" s="23">
        <v>1.0</v>
      </c>
      <c r="W12" s="23">
        <v>1.0</v>
      </c>
      <c r="X12" s="26">
        <f t="shared" si="4"/>
        <v>15</v>
      </c>
    </row>
    <row r="13">
      <c r="A13" s="20" t="s">
        <v>34</v>
      </c>
      <c r="B13" s="21">
        <v>10.0</v>
      </c>
      <c r="C13" s="22">
        <v>0.0</v>
      </c>
      <c r="D13" s="22">
        <v>10.0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5">
        <f t="shared" si="1"/>
        <v>10</v>
      </c>
      <c r="K13" s="23">
        <v>10.0</v>
      </c>
      <c r="L13" s="23">
        <v>0.0</v>
      </c>
      <c r="M13" s="25">
        <f t="shared" si="2"/>
        <v>10</v>
      </c>
      <c r="N13" s="23">
        <v>0.0</v>
      </c>
      <c r="O13" s="23">
        <v>5.0</v>
      </c>
      <c r="P13" s="23">
        <v>3.0</v>
      </c>
      <c r="Q13" s="23">
        <v>2.0</v>
      </c>
      <c r="R13" s="23">
        <v>0.0</v>
      </c>
      <c r="S13" s="26">
        <f t="shared" si="3"/>
        <v>10</v>
      </c>
      <c r="T13" s="23">
        <v>9.0</v>
      </c>
      <c r="U13" s="23">
        <v>0.0</v>
      </c>
      <c r="V13" s="23">
        <v>1.0</v>
      </c>
      <c r="W13" s="23">
        <v>0.0</v>
      </c>
      <c r="X13" s="26">
        <f t="shared" si="4"/>
        <v>10</v>
      </c>
    </row>
    <row r="14">
      <c r="A14" s="20" t="s">
        <v>35</v>
      </c>
      <c r="B14" s="27">
        <v>6.0</v>
      </c>
      <c r="C14" s="22">
        <v>0.0</v>
      </c>
      <c r="D14" s="22">
        <v>6.0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5">
        <f t="shared" si="1"/>
        <v>6</v>
      </c>
      <c r="K14" s="23">
        <v>6.0</v>
      </c>
      <c r="L14" s="23">
        <v>0.0</v>
      </c>
      <c r="M14" s="25">
        <f t="shared" si="2"/>
        <v>6</v>
      </c>
      <c r="N14" s="23">
        <v>2.0</v>
      </c>
      <c r="O14" s="23">
        <v>1.0</v>
      </c>
      <c r="P14" s="23">
        <v>3.0</v>
      </c>
      <c r="Q14" s="23">
        <v>0.0</v>
      </c>
      <c r="R14" s="23">
        <v>0.0</v>
      </c>
      <c r="S14" s="26">
        <f t="shared" si="3"/>
        <v>6</v>
      </c>
      <c r="T14" s="23">
        <v>3.0</v>
      </c>
      <c r="U14" s="23">
        <v>0.0</v>
      </c>
      <c r="V14" s="23">
        <v>1.0</v>
      </c>
      <c r="W14" s="23">
        <v>2.0</v>
      </c>
      <c r="X14" s="26">
        <f t="shared" si="4"/>
        <v>6</v>
      </c>
    </row>
    <row r="15">
      <c r="A15" s="20" t="s">
        <v>36</v>
      </c>
      <c r="B15" s="21">
        <v>0.0</v>
      </c>
      <c r="C15" s="22">
        <v>0.0</v>
      </c>
      <c r="D15" s="22">
        <v>0.0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5">
        <f t="shared" si="1"/>
        <v>0</v>
      </c>
      <c r="K15" s="23">
        <v>0.0</v>
      </c>
      <c r="L15" s="23">
        <v>0.0</v>
      </c>
      <c r="M15" s="25">
        <f t="shared" si="2"/>
        <v>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6">
        <f t="shared" si="3"/>
        <v>0</v>
      </c>
      <c r="T15" s="23">
        <v>0.0</v>
      </c>
      <c r="U15" s="23">
        <v>0.0</v>
      </c>
      <c r="V15" s="23">
        <v>0.0</v>
      </c>
      <c r="W15" s="23">
        <v>0.0</v>
      </c>
      <c r="X15" s="26">
        <f t="shared" si="4"/>
        <v>0</v>
      </c>
    </row>
    <row r="16">
      <c r="A16" s="20" t="s">
        <v>37</v>
      </c>
      <c r="B16" s="21">
        <v>21.0</v>
      </c>
      <c r="C16" s="22">
        <v>0.0</v>
      </c>
      <c r="D16" s="22">
        <v>21.0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5">
        <f t="shared" si="1"/>
        <v>21</v>
      </c>
      <c r="K16" s="23">
        <v>21.0</v>
      </c>
      <c r="L16" s="23">
        <v>0.0</v>
      </c>
      <c r="M16" s="25">
        <f t="shared" si="2"/>
        <v>21</v>
      </c>
      <c r="N16" s="23">
        <v>6.0</v>
      </c>
      <c r="O16" s="23">
        <v>4.0</v>
      </c>
      <c r="P16" s="23">
        <v>11.0</v>
      </c>
      <c r="Q16" s="23">
        <v>0.0</v>
      </c>
      <c r="R16" s="23">
        <v>0.0</v>
      </c>
      <c r="S16" s="26">
        <f t="shared" si="3"/>
        <v>21</v>
      </c>
      <c r="T16" s="23">
        <v>16.0</v>
      </c>
      <c r="U16" s="23">
        <v>0.0</v>
      </c>
      <c r="V16" s="23">
        <v>3.0</v>
      </c>
      <c r="W16" s="23">
        <v>2.0</v>
      </c>
      <c r="X16" s="26">
        <f t="shared" si="4"/>
        <v>21</v>
      </c>
    </row>
    <row r="17">
      <c r="A17" s="20" t="s">
        <v>38</v>
      </c>
      <c r="B17" s="21">
        <v>0.0</v>
      </c>
      <c r="C17" s="22">
        <v>0.0</v>
      </c>
      <c r="D17" s="22">
        <v>0.0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5">
        <f t="shared" si="1"/>
        <v>0</v>
      </c>
      <c r="K17" s="23">
        <v>0.0</v>
      </c>
      <c r="L17" s="23">
        <v>0.0</v>
      </c>
      <c r="M17" s="25">
        <f t="shared" si="2"/>
        <v>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6">
        <f t="shared" si="3"/>
        <v>0</v>
      </c>
      <c r="T17" s="23">
        <v>0.0</v>
      </c>
      <c r="U17" s="23">
        <v>0.0</v>
      </c>
      <c r="V17" s="23">
        <v>0.0</v>
      </c>
      <c r="W17" s="23">
        <v>0.0</v>
      </c>
      <c r="X17" s="26">
        <f t="shared" si="4"/>
        <v>0</v>
      </c>
    </row>
    <row r="18">
      <c r="A18" s="20" t="s">
        <v>39</v>
      </c>
      <c r="B18" s="27">
        <v>58.0</v>
      </c>
      <c r="C18" s="22">
        <v>0.0</v>
      </c>
      <c r="D18" s="22">
        <v>55.0</v>
      </c>
      <c r="E18" s="22">
        <v>2.0</v>
      </c>
      <c r="F18" s="22">
        <v>0.0</v>
      </c>
      <c r="G18" s="22">
        <v>0.0</v>
      </c>
      <c r="H18" s="22">
        <v>1.0</v>
      </c>
      <c r="I18" s="22">
        <v>0.0</v>
      </c>
      <c r="J18" s="25">
        <f t="shared" si="1"/>
        <v>58</v>
      </c>
      <c r="K18" s="23">
        <v>52.0</v>
      </c>
      <c r="L18" s="23">
        <v>6.0</v>
      </c>
      <c r="M18" s="25">
        <f t="shared" si="2"/>
        <v>58</v>
      </c>
      <c r="N18" s="23">
        <v>23.0</v>
      </c>
      <c r="O18" s="23">
        <v>21.0</v>
      </c>
      <c r="P18" s="23">
        <v>12.0</v>
      </c>
      <c r="Q18" s="23">
        <v>0.0</v>
      </c>
      <c r="R18" s="23">
        <v>2.0</v>
      </c>
      <c r="S18" s="26">
        <f t="shared" si="3"/>
        <v>58</v>
      </c>
      <c r="T18" s="23">
        <v>43.0</v>
      </c>
      <c r="U18" s="23">
        <v>1.0</v>
      </c>
      <c r="V18" s="23">
        <v>11.0</v>
      </c>
      <c r="W18" s="23">
        <v>3.0</v>
      </c>
      <c r="X18" s="26">
        <f t="shared" si="4"/>
        <v>58</v>
      </c>
    </row>
    <row r="19">
      <c r="A19" s="20" t="s">
        <v>40</v>
      </c>
      <c r="B19" s="27">
        <v>0.0</v>
      </c>
      <c r="C19" s="22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5">
        <f t="shared" si="1"/>
        <v>0</v>
      </c>
      <c r="K19" s="23">
        <v>0.0</v>
      </c>
      <c r="L19" s="23">
        <v>0.0</v>
      </c>
      <c r="M19" s="25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0</v>
      </c>
      <c r="T19" s="23">
        <v>0.0</v>
      </c>
      <c r="U19" s="23">
        <v>0.0</v>
      </c>
      <c r="V19" s="23">
        <v>0.0</v>
      </c>
      <c r="W19" s="23">
        <v>0.0</v>
      </c>
      <c r="X19" s="26">
        <f t="shared" si="4"/>
        <v>0</v>
      </c>
    </row>
    <row r="20">
      <c r="A20" s="20" t="s">
        <v>41</v>
      </c>
      <c r="B20" s="21">
        <v>0.0</v>
      </c>
      <c r="C20" s="22">
        <v>0.0</v>
      </c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3">
        <v>0.0</v>
      </c>
      <c r="X20" s="26">
        <f t="shared" si="4"/>
        <v>0</v>
      </c>
    </row>
    <row r="21">
      <c r="A21" s="20" t="s">
        <v>42</v>
      </c>
      <c r="B21" s="27">
        <v>2.0</v>
      </c>
      <c r="C21" s="22">
        <v>0.0</v>
      </c>
      <c r="D21" s="22">
        <v>2.0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5">
        <f t="shared" si="1"/>
        <v>2</v>
      </c>
      <c r="K21" s="23">
        <v>2.0</v>
      </c>
      <c r="L21" s="23">
        <v>0.0</v>
      </c>
      <c r="M21" s="25">
        <f t="shared" si="2"/>
        <v>2</v>
      </c>
      <c r="N21" s="23">
        <v>1.0</v>
      </c>
      <c r="O21" s="23">
        <v>0.0</v>
      </c>
      <c r="P21" s="23">
        <v>1.0</v>
      </c>
      <c r="Q21" s="23">
        <v>0.0</v>
      </c>
      <c r="R21" s="23">
        <v>0.0</v>
      </c>
      <c r="S21" s="26">
        <f t="shared" si="3"/>
        <v>2</v>
      </c>
      <c r="T21" s="23">
        <v>1.0</v>
      </c>
      <c r="U21" s="23">
        <v>0.0</v>
      </c>
      <c r="V21" s="23">
        <v>1.0</v>
      </c>
      <c r="W21" s="23">
        <v>0.0</v>
      </c>
      <c r="X21" s="26">
        <f t="shared" si="4"/>
        <v>2</v>
      </c>
    </row>
    <row r="22">
      <c r="A22" s="20" t="s">
        <v>43</v>
      </c>
      <c r="B22" s="27">
        <v>68.0</v>
      </c>
      <c r="C22" s="22">
        <v>0.0</v>
      </c>
      <c r="D22" s="22">
        <v>68.0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5">
        <f t="shared" si="1"/>
        <v>68</v>
      </c>
      <c r="K22" s="23">
        <v>68.0</v>
      </c>
      <c r="L22" s="23">
        <v>0.0</v>
      </c>
      <c r="M22" s="25">
        <f t="shared" si="2"/>
        <v>68</v>
      </c>
      <c r="N22" s="23">
        <v>38.0</v>
      </c>
      <c r="O22" s="23">
        <v>22.0</v>
      </c>
      <c r="P22" s="23">
        <v>6.0</v>
      </c>
      <c r="Q22" s="23">
        <v>1.0</v>
      </c>
      <c r="R22" s="23">
        <v>1.0</v>
      </c>
      <c r="S22" s="26">
        <f t="shared" si="3"/>
        <v>68</v>
      </c>
      <c r="T22" s="23">
        <v>65.0</v>
      </c>
      <c r="U22" s="23">
        <v>0.0</v>
      </c>
      <c r="V22" s="23">
        <v>1.0</v>
      </c>
      <c r="W22" s="23">
        <v>2.0</v>
      </c>
      <c r="X22" s="26">
        <f t="shared" si="4"/>
        <v>68</v>
      </c>
    </row>
    <row r="23">
      <c r="A23" s="20" t="s">
        <v>44</v>
      </c>
      <c r="B23" s="27">
        <v>28.0</v>
      </c>
      <c r="C23" s="22">
        <v>0.0</v>
      </c>
      <c r="D23" s="22">
        <v>28.0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5">
        <f t="shared" si="1"/>
        <v>28</v>
      </c>
      <c r="K23" s="23">
        <v>27.0</v>
      </c>
      <c r="L23" s="23">
        <v>1.0</v>
      </c>
      <c r="M23" s="25">
        <f t="shared" si="2"/>
        <v>28</v>
      </c>
      <c r="N23" s="23">
        <v>23.0</v>
      </c>
      <c r="O23" s="23">
        <v>1.0</v>
      </c>
      <c r="P23" s="23">
        <v>4.0</v>
      </c>
      <c r="Q23" s="23">
        <v>0.0</v>
      </c>
      <c r="R23" s="23">
        <v>0.0</v>
      </c>
      <c r="S23" s="26">
        <f t="shared" si="3"/>
        <v>28</v>
      </c>
      <c r="T23" s="23">
        <v>28.0</v>
      </c>
      <c r="U23" s="23">
        <v>0.0</v>
      </c>
      <c r="V23" s="23">
        <v>0.0</v>
      </c>
      <c r="W23" s="23">
        <v>0.0</v>
      </c>
      <c r="X23" s="26">
        <f t="shared" si="4"/>
        <v>28</v>
      </c>
    </row>
    <row r="24">
      <c r="A24" s="20" t="s">
        <v>45</v>
      </c>
      <c r="B24" s="27">
        <v>1.0</v>
      </c>
      <c r="C24" s="22">
        <v>0.0</v>
      </c>
      <c r="D24" s="22">
        <v>1.0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5">
        <f t="shared" si="1"/>
        <v>1</v>
      </c>
      <c r="K24" s="23">
        <v>1.0</v>
      </c>
      <c r="L24" s="23">
        <v>0.0</v>
      </c>
      <c r="M24" s="25">
        <f t="shared" si="2"/>
        <v>1</v>
      </c>
      <c r="N24" s="23">
        <v>1.0</v>
      </c>
      <c r="O24" s="23">
        <v>0.0</v>
      </c>
      <c r="P24" s="23">
        <v>0.0</v>
      </c>
      <c r="Q24" s="23">
        <v>0.0</v>
      </c>
      <c r="R24" s="23">
        <v>0.0</v>
      </c>
      <c r="S24" s="26">
        <f t="shared" si="3"/>
        <v>1</v>
      </c>
      <c r="T24" s="23">
        <v>0.0</v>
      </c>
      <c r="U24" s="23">
        <v>0.0</v>
      </c>
      <c r="V24" s="23">
        <v>0.0</v>
      </c>
      <c r="W24" s="23">
        <v>1.0</v>
      </c>
      <c r="X24" s="26">
        <f t="shared" si="4"/>
        <v>1</v>
      </c>
    </row>
    <row r="25">
      <c r="A25" s="20" t="s">
        <v>46</v>
      </c>
      <c r="B25" s="27">
        <v>17.0</v>
      </c>
      <c r="C25" s="22">
        <v>0.0</v>
      </c>
      <c r="D25" s="22">
        <v>17.0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5">
        <f t="shared" si="1"/>
        <v>17</v>
      </c>
      <c r="K25" s="23">
        <v>10.0</v>
      </c>
      <c r="L25" s="23">
        <v>7.0</v>
      </c>
      <c r="M25" s="25">
        <f t="shared" si="2"/>
        <v>17</v>
      </c>
      <c r="N25" s="23">
        <v>6.0</v>
      </c>
      <c r="O25" s="23">
        <v>11.0</v>
      </c>
      <c r="P25" s="23">
        <v>0.0</v>
      </c>
      <c r="Q25" s="23">
        <v>0.0</v>
      </c>
      <c r="R25" s="23">
        <v>0.0</v>
      </c>
      <c r="S25" s="26">
        <f t="shared" si="3"/>
        <v>17</v>
      </c>
      <c r="T25" s="23">
        <v>8.0</v>
      </c>
      <c r="U25" s="23">
        <v>0.0</v>
      </c>
      <c r="V25" s="23">
        <v>5.0</v>
      </c>
      <c r="W25" s="23">
        <v>4.0</v>
      </c>
      <c r="X25" s="26">
        <f t="shared" si="4"/>
        <v>17</v>
      </c>
    </row>
    <row r="26">
      <c r="A26" s="20" t="s">
        <v>47</v>
      </c>
      <c r="B26" s="27">
        <v>1.0</v>
      </c>
      <c r="C26" s="22">
        <v>0.0</v>
      </c>
      <c r="D26" s="22">
        <v>1.0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5">
        <f t="shared" si="1"/>
        <v>1</v>
      </c>
      <c r="K26" s="23">
        <v>1.0</v>
      </c>
      <c r="L26" s="23">
        <v>0.0</v>
      </c>
      <c r="M26" s="25">
        <f t="shared" si="2"/>
        <v>1</v>
      </c>
      <c r="N26" s="23">
        <v>0.0</v>
      </c>
      <c r="O26" s="23">
        <v>1.0</v>
      </c>
      <c r="P26" s="23">
        <v>0.0</v>
      </c>
      <c r="Q26" s="23">
        <v>0.0</v>
      </c>
      <c r="R26" s="23">
        <v>0.0</v>
      </c>
      <c r="S26" s="26">
        <f t="shared" si="3"/>
        <v>1</v>
      </c>
      <c r="T26" s="23">
        <v>0.0</v>
      </c>
      <c r="U26" s="23">
        <v>0.0</v>
      </c>
      <c r="V26" s="23">
        <v>1.0</v>
      </c>
      <c r="W26" s="23">
        <v>0.0</v>
      </c>
      <c r="X26" s="26">
        <f t="shared" si="4"/>
        <v>1</v>
      </c>
    </row>
    <row r="27">
      <c r="A27" s="20" t="s">
        <v>48</v>
      </c>
      <c r="B27" s="21">
        <v>2.0</v>
      </c>
      <c r="C27" s="22">
        <v>0.0</v>
      </c>
      <c r="D27" s="22">
        <v>2.0</v>
      </c>
      <c r="E27" s="22">
        <v>0.0</v>
      </c>
      <c r="F27" s="22">
        <v>0.0</v>
      </c>
      <c r="G27" s="22">
        <v>0.0</v>
      </c>
      <c r="H27" s="22">
        <v>0.0</v>
      </c>
      <c r="I27" s="22">
        <v>0.0</v>
      </c>
      <c r="J27" s="25">
        <f t="shared" si="1"/>
        <v>2</v>
      </c>
      <c r="K27" s="23">
        <v>0.0</v>
      </c>
      <c r="L27" s="23">
        <v>2.0</v>
      </c>
      <c r="M27" s="25">
        <f t="shared" si="2"/>
        <v>2</v>
      </c>
      <c r="N27" s="23">
        <v>0.0</v>
      </c>
      <c r="O27" s="23">
        <v>0.0</v>
      </c>
      <c r="P27" s="23">
        <v>0.0</v>
      </c>
      <c r="Q27" s="23">
        <v>2.0</v>
      </c>
      <c r="R27" s="23">
        <v>0.0</v>
      </c>
      <c r="S27" s="26">
        <f t="shared" si="3"/>
        <v>2</v>
      </c>
      <c r="T27" s="23">
        <v>0.0</v>
      </c>
      <c r="U27" s="23">
        <v>0.0</v>
      </c>
      <c r="V27" s="23">
        <v>2.0</v>
      </c>
      <c r="W27" s="23">
        <v>0.0</v>
      </c>
      <c r="X27" s="26">
        <f t="shared" si="4"/>
        <v>2</v>
      </c>
    </row>
    <row r="28">
      <c r="A28" s="20" t="s">
        <v>49</v>
      </c>
      <c r="B28" s="21">
        <v>4.0</v>
      </c>
      <c r="C28" s="22">
        <v>0.0</v>
      </c>
      <c r="D28" s="22">
        <v>4.0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5">
        <f t="shared" si="1"/>
        <v>4</v>
      </c>
      <c r="K28" s="23">
        <v>4.0</v>
      </c>
      <c r="L28" s="23">
        <v>0.0</v>
      </c>
      <c r="M28" s="25">
        <f t="shared" si="2"/>
        <v>4</v>
      </c>
      <c r="N28" s="23">
        <v>2.0</v>
      </c>
      <c r="O28" s="23">
        <v>2.0</v>
      </c>
      <c r="P28" s="23">
        <v>0.0</v>
      </c>
      <c r="Q28" s="23">
        <v>0.0</v>
      </c>
      <c r="R28" s="23">
        <v>0.0</v>
      </c>
      <c r="S28" s="26">
        <f t="shared" si="3"/>
        <v>4</v>
      </c>
      <c r="T28" s="23">
        <v>3.0</v>
      </c>
      <c r="U28" s="23">
        <v>0.0</v>
      </c>
      <c r="V28" s="23">
        <v>0.0</v>
      </c>
      <c r="W28" s="23">
        <v>1.0</v>
      </c>
      <c r="X28" s="26">
        <f t="shared" si="4"/>
        <v>4</v>
      </c>
    </row>
    <row r="29">
      <c r="A29" s="20" t="s">
        <v>50</v>
      </c>
      <c r="B29" s="21">
        <v>5.0</v>
      </c>
      <c r="C29" s="22">
        <v>1.0</v>
      </c>
      <c r="D29" s="22">
        <v>4.0</v>
      </c>
      <c r="E29" s="22">
        <v>0.0</v>
      </c>
      <c r="F29" s="22">
        <v>0.0</v>
      </c>
      <c r="G29" s="22">
        <v>0.0</v>
      </c>
      <c r="H29" s="22">
        <v>0.0</v>
      </c>
      <c r="I29" s="22">
        <v>0.0</v>
      </c>
      <c r="J29" s="25">
        <f t="shared" si="1"/>
        <v>5</v>
      </c>
      <c r="K29" s="23">
        <v>5.0</v>
      </c>
      <c r="L29" s="23">
        <v>0.0</v>
      </c>
      <c r="M29" s="25">
        <f t="shared" si="2"/>
        <v>5</v>
      </c>
      <c r="N29" s="23">
        <v>0.0</v>
      </c>
      <c r="O29" s="23">
        <v>5.0</v>
      </c>
      <c r="P29" s="23">
        <v>0.0</v>
      </c>
      <c r="Q29" s="23">
        <v>0.0</v>
      </c>
      <c r="R29" s="23">
        <v>0.0</v>
      </c>
      <c r="S29" s="26">
        <f t="shared" si="3"/>
        <v>5</v>
      </c>
      <c r="T29" s="23">
        <v>5.0</v>
      </c>
      <c r="U29" s="23">
        <v>0.0</v>
      </c>
      <c r="V29" s="23">
        <v>0.0</v>
      </c>
      <c r="W29" s="23">
        <v>0.0</v>
      </c>
      <c r="X29" s="26">
        <f t="shared" si="4"/>
        <v>5</v>
      </c>
    </row>
    <row r="30">
      <c r="A30" s="20" t="s">
        <v>51</v>
      </c>
      <c r="B30" s="27">
        <v>1.0</v>
      </c>
      <c r="C30" s="22">
        <v>0.0</v>
      </c>
      <c r="D30" s="22">
        <v>1.0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5">
        <f t="shared" si="1"/>
        <v>1</v>
      </c>
      <c r="K30" s="23">
        <v>1.0</v>
      </c>
      <c r="L30" s="23">
        <v>0.0</v>
      </c>
      <c r="M30" s="25">
        <f t="shared" si="2"/>
        <v>1</v>
      </c>
      <c r="N30" s="23">
        <v>0.0</v>
      </c>
      <c r="O30" s="23">
        <v>0.0</v>
      </c>
      <c r="P30" s="23">
        <v>0.0</v>
      </c>
      <c r="Q30" s="23">
        <v>1.0</v>
      </c>
      <c r="R30" s="23">
        <v>0.0</v>
      </c>
      <c r="S30" s="26">
        <f t="shared" si="3"/>
        <v>1</v>
      </c>
      <c r="T30" s="23">
        <v>0.0</v>
      </c>
      <c r="U30" s="23">
        <v>0.0</v>
      </c>
      <c r="V30" s="23">
        <v>1.0</v>
      </c>
      <c r="W30" s="23">
        <v>0.0</v>
      </c>
      <c r="X30" s="26">
        <f t="shared" si="4"/>
        <v>1</v>
      </c>
    </row>
    <row r="31">
      <c r="A31" s="20" t="s">
        <v>52</v>
      </c>
      <c r="B31" s="27">
        <v>14.0</v>
      </c>
      <c r="C31" s="22">
        <v>0.0</v>
      </c>
      <c r="D31" s="22">
        <v>14.0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5">
        <f t="shared" si="1"/>
        <v>14</v>
      </c>
      <c r="K31" s="23">
        <v>14.0</v>
      </c>
      <c r="L31" s="23">
        <v>0.0</v>
      </c>
      <c r="M31" s="25">
        <f t="shared" si="2"/>
        <v>14</v>
      </c>
      <c r="N31" s="23">
        <v>0.0</v>
      </c>
      <c r="O31" s="23">
        <v>1.0</v>
      </c>
      <c r="P31" s="23">
        <v>12.0</v>
      </c>
      <c r="Q31" s="23">
        <v>1.0</v>
      </c>
      <c r="R31" s="23">
        <v>0.0</v>
      </c>
      <c r="S31" s="26">
        <f t="shared" si="3"/>
        <v>14</v>
      </c>
      <c r="T31" s="23">
        <v>13.0</v>
      </c>
      <c r="U31" s="23">
        <v>0.0</v>
      </c>
      <c r="V31" s="23">
        <v>1.0</v>
      </c>
      <c r="W31" s="23">
        <v>0.0</v>
      </c>
      <c r="X31" s="26">
        <f t="shared" si="4"/>
        <v>14</v>
      </c>
    </row>
    <row r="32">
      <c r="A32" s="20" t="s">
        <v>53</v>
      </c>
      <c r="B32" s="21">
        <v>7.0</v>
      </c>
      <c r="C32" s="22">
        <v>0.0</v>
      </c>
      <c r="D32" s="22">
        <v>7.0</v>
      </c>
      <c r="E32" s="22">
        <v>0.0</v>
      </c>
      <c r="F32" s="22">
        <v>0.0</v>
      </c>
      <c r="G32" s="22">
        <v>0.0</v>
      </c>
      <c r="H32" s="22">
        <v>0.0</v>
      </c>
      <c r="I32" s="22">
        <v>0.0</v>
      </c>
      <c r="J32" s="25">
        <f t="shared" si="1"/>
        <v>7</v>
      </c>
      <c r="K32" s="23">
        <v>7.0</v>
      </c>
      <c r="L32" s="23">
        <v>0.0</v>
      </c>
      <c r="M32" s="25">
        <f t="shared" si="2"/>
        <v>7</v>
      </c>
      <c r="N32" s="23">
        <v>2.0</v>
      </c>
      <c r="O32" s="23">
        <v>2.0</v>
      </c>
      <c r="P32" s="23">
        <v>3.0</v>
      </c>
      <c r="Q32" s="23">
        <v>0.0</v>
      </c>
      <c r="R32" s="23">
        <v>0.0</v>
      </c>
      <c r="S32" s="26">
        <f t="shared" si="3"/>
        <v>7</v>
      </c>
      <c r="T32" s="23">
        <v>2.0</v>
      </c>
      <c r="U32" s="23">
        <v>0.0</v>
      </c>
      <c r="V32" s="23">
        <v>5.0</v>
      </c>
      <c r="W32" s="23">
        <v>0.0</v>
      </c>
      <c r="X32" s="26">
        <f t="shared" si="4"/>
        <v>7</v>
      </c>
    </row>
    <row r="33">
      <c r="A33" s="20" t="s">
        <v>54</v>
      </c>
      <c r="B33" s="21">
        <v>9.0</v>
      </c>
      <c r="C33" s="22">
        <v>0.0</v>
      </c>
      <c r="D33" s="22">
        <v>9.0</v>
      </c>
      <c r="E33" s="22">
        <v>0.0</v>
      </c>
      <c r="F33" s="22">
        <v>0.0</v>
      </c>
      <c r="G33" s="22">
        <v>0.0</v>
      </c>
      <c r="H33" s="22">
        <v>0.0</v>
      </c>
      <c r="I33" s="22">
        <v>0.0</v>
      </c>
      <c r="J33" s="25">
        <f t="shared" si="1"/>
        <v>9</v>
      </c>
      <c r="K33" s="23">
        <v>9.0</v>
      </c>
      <c r="L33" s="23">
        <v>0.0</v>
      </c>
      <c r="M33" s="25">
        <f t="shared" si="2"/>
        <v>9</v>
      </c>
      <c r="N33" s="23">
        <v>0.0</v>
      </c>
      <c r="O33" s="23">
        <v>5.0</v>
      </c>
      <c r="P33" s="23">
        <v>4.0</v>
      </c>
      <c r="Q33" s="23">
        <v>0.0</v>
      </c>
      <c r="R33" s="23">
        <v>0.0</v>
      </c>
      <c r="S33" s="26">
        <f t="shared" si="3"/>
        <v>9</v>
      </c>
      <c r="T33" s="23">
        <v>3.0</v>
      </c>
      <c r="U33" s="23">
        <v>0.0</v>
      </c>
      <c r="V33" s="23">
        <v>3.0</v>
      </c>
      <c r="W33" s="23">
        <v>3.0</v>
      </c>
      <c r="X33" s="26">
        <f t="shared" si="4"/>
        <v>9</v>
      </c>
    </row>
    <row r="34">
      <c r="A34" s="20" t="s">
        <v>55</v>
      </c>
      <c r="B34" s="27">
        <v>10.0</v>
      </c>
      <c r="C34" s="22">
        <v>0.0</v>
      </c>
      <c r="D34" s="22">
        <v>10.0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5">
        <f t="shared" si="1"/>
        <v>10</v>
      </c>
      <c r="K34" s="23">
        <v>9.0</v>
      </c>
      <c r="L34" s="23">
        <v>1.0</v>
      </c>
      <c r="M34" s="25">
        <f t="shared" si="2"/>
        <v>10</v>
      </c>
      <c r="N34" s="23">
        <v>1.0</v>
      </c>
      <c r="O34" s="23">
        <v>2.0</v>
      </c>
      <c r="P34" s="23">
        <v>7.0</v>
      </c>
      <c r="Q34" s="23">
        <v>0.0</v>
      </c>
      <c r="R34" s="23">
        <v>0.0</v>
      </c>
      <c r="S34" s="26">
        <f t="shared" si="3"/>
        <v>10</v>
      </c>
      <c r="T34" s="23">
        <v>9.0</v>
      </c>
      <c r="U34" s="23">
        <v>0.0</v>
      </c>
      <c r="V34" s="23">
        <v>1.0</v>
      </c>
      <c r="W34" s="23">
        <v>0.0</v>
      </c>
      <c r="X34" s="26">
        <f t="shared" si="4"/>
        <v>10</v>
      </c>
    </row>
    <row r="35">
      <c r="A35" s="20" t="s">
        <v>56</v>
      </c>
      <c r="B35" s="27">
        <v>0.0</v>
      </c>
      <c r="C35" s="22">
        <v>0.0</v>
      </c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13.0</v>
      </c>
      <c r="C36" s="22">
        <v>0.0</v>
      </c>
      <c r="D36" s="22">
        <v>13.0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5">
        <f t="shared" si="1"/>
        <v>13</v>
      </c>
      <c r="K36" s="23">
        <v>13.0</v>
      </c>
      <c r="L36" s="23">
        <v>0.0</v>
      </c>
      <c r="M36" s="25">
        <f t="shared" si="2"/>
        <v>13</v>
      </c>
      <c r="N36" s="23">
        <v>2.0</v>
      </c>
      <c r="O36" s="23">
        <v>4.0</v>
      </c>
      <c r="P36" s="23">
        <v>6.0</v>
      </c>
      <c r="Q36" s="23">
        <v>1.0</v>
      </c>
      <c r="R36" s="23">
        <v>0.0</v>
      </c>
      <c r="S36" s="26">
        <f t="shared" si="3"/>
        <v>13</v>
      </c>
      <c r="T36" s="23">
        <v>8.0</v>
      </c>
      <c r="U36" s="23">
        <v>0.0</v>
      </c>
      <c r="V36" s="23">
        <v>3.0</v>
      </c>
      <c r="W36" s="23">
        <v>2.0</v>
      </c>
      <c r="X36" s="26">
        <f t="shared" si="4"/>
        <v>13</v>
      </c>
    </row>
    <row r="37">
      <c r="A37" s="20" t="s">
        <v>58</v>
      </c>
      <c r="B37" s="21">
        <v>0.0</v>
      </c>
      <c r="C37" s="22">
        <v>0.0</v>
      </c>
      <c r="D37" s="22">
        <v>0.0</v>
      </c>
      <c r="E37" s="22">
        <v>0.0</v>
      </c>
      <c r="F37" s="22">
        <v>0.0</v>
      </c>
      <c r="G37" s="22">
        <v>0.0</v>
      </c>
      <c r="H37" s="22">
        <v>0.0</v>
      </c>
      <c r="I37" s="22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2">
        <v>0.0</v>
      </c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5">
        <f t="shared" si="1"/>
        <v>0</v>
      </c>
      <c r="K38" s="23">
        <v>0.0</v>
      </c>
      <c r="L38" s="23">
        <v>0.0</v>
      </c>
      <c r="M38" s="25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6">
        <f t="shared" si="3"/>
        <v>0</v>
      </c>
      <c r="T38" s="23">
        <v>0.0</v>
      </c>
      <c r="U38" s="23">
        <v>0.0</v>
      </c>
      <c r="V38" s="23">
        <v>0.0</v>
      </c>
      <c r="W38" s="23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/>
      <c r="C39" s="22"/>
      <c r="D39" s="22"/>
      <c r="E39" s="22"/>
      <c r="F39" s="22"/>
      <c r="G39" s="22"/>
      <c r="H39" s="22"/>
      <c r="I39" s="22"/>
      <c r="J39" s="25"/>
      <c r="K39" s="23"/>
      <c r="L39" s="23"/>
      <c r="M39" s="25"/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/>
      <c r="U39" s="23"/>
      <c r="V39" s="23"/>
      <c r="W39" s="23"/>
      <c r="X39" s="26"/>
      <c r="Y39" s="30"/>
      <c r="Z39" s="30"/>
    </row>
    <row r="40">
      <c r="A40" s="20" t="s">
        <v>61</v>
      </c>
      <c r="B40" s="28">
        <v>0.0</v>
      </c>
      <c r="C40" s="22">
        <v>0.0</v>
      </c>
      <c r="D40" s="22">
        <v>0.0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5">
        <f t="shared" ref="J40:J53" si="5">sum(C40:I40)</f>
        <v>0</v>
      </c>
      <c r="K40" s="23">
        <v>0.0</v>
      </c>
      <c r="L40" s="23">
        <v>0.0</v>
      </c>
      <c r="M40" s="25">
        <f t="shared" ref="M40:M53" si="6">sum(K40:L40)</f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6">
        <f t="shared" ref="S40:S53" si="7">sum(N40:R40)</f>
        <v>0</v>
      </c>
      <c r="T40" s="23">
        <v>0.0</v>
      </c>
      <c r="U40" s="23">
        <v>0.0</v>
      </c>
      <c r="V40" s="23">
        <v>0.0</v>
      </c>
      <c r="W40" s="23">
        <v>0.0</v>
      </c>
      <c r="X40" s="26">
        <f t="shared" ref="X40:X53" si="8">sum(T40:W40)</f>
        <v>0</v>
      </c>
      <c r="Y40" s="30"/>
      <c r="Z40" s="30"/>
    </row>
    <row r="41">
      <c r="A41" s="20" t="s">
        <v>62</v>
      </c>
      <c r="B41" s="27">
        <v>17.0</v>
      </c>
      <c r="C41" s="22">
        <v>0.0</v>
      </c>
      <c r="D41" s="22">
        <v>17.0</v>
      </c>
      <c r="E41" s="22">
        <v>0.0</v>
      </c>
      <c r="F41" s="22">
        <v>0.0</v>
      </c>
      <c r="G41" s="22">
        <v>0.0</v>
      </c>
      <c r="H41" s="22">
        <v>0.0</v>
      </c>
      <c r="I41" s="22">
        <v>0.0</v>
      </c>
      <c r="J41" s="25">
        <f t="shared" si="5"/>
        <v>17</v>
      </c>
      <c r="K41" s="23">
        <v>17.0</v>
      </c>
      <c r="L41" s="23">
        <v>0.0</v>
      </c>
      <c r="M41" s="25">
        <f t="shared" si="6"/>
        <v>17</v>
      </c>
      <c r="N41" s="23">
        <v>0.0</v>
      </c>
      <c r="O41" s="23">
        <v>2.0</v>
      </c>
      <c r="P41" s="23">
        <v>15.0</v>
      </c>
      <c r="Q41" s="23">
        <v>0.0</v>
      </c>
      <c r="R41" s="23">
        <v>0.0</v>
      </c>
      <c r="S41" s="26">
        <f t="shared" si="7"/>
        <v>17</v>
      </c>
      <c r="T41" s="23">
        <v>3.0</v>
      </c>
      <c r="U41" s="23">
        <v>0.0</v>
      </c>
      <c r="V41" s="23">
        <v>8.0</v>
      </c>
      <c r="W41" s="23">
        <v>6.0</v>
      </c>
      <c r="X41" s="26">
        <f t="shared" si="8"/>
        <v>17</v>
      </c>
    </row>
    <row r="42">
      <c r="A42" s="20" t="s">
        <v>63</v>
      </c>
      <c r="B42" s="27">
        <v>0.0</v>
      </c>
      <c r="C42" s="22">
        <v>0.0</v>
      </c>
      <c r="D42" s="22">
        <v>0.0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5">
        <f t="shared" si="5"/>
        <v>0</v>
      </c>
      <c r="K42" s="23">
        <v>0.0</v>
      </c>
      <c r="L42" s="23">
        <v>0.0</v>
      </c>
      <c r="M42" s="25">
        <f t="shared" si="6"/>
        <v>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6">
        <f t="shared" si="7"/>
        <v>0</v>
      </c>
      <c r="T42" s="23">
        <v>0.0</v>
      </c>
      <c r="U42" s="23">
        <v>0.0</v>
      </c>
      <c r="V42" s="23">
        <v>0.0</v>
      </c>
      <c r="W42" s="23">
        <v>0.0</v>
      </c>
      <c r="X42" s="26">
        <f t="shared" si="8"/>
        <v>0</v>
      </c>
    </row>
    <row r="43">
      <c r="A43" s="20" t="s">
        <v>64</v>
      </c>
      <c r="B43" s="27">
        <v>2.0</v>
      </c>
      <c r="C43" s="22">
        <v>0.0</v>
      </c>
      <c r="D43" s="22">
        <v>1.0</v>
      </c>
      <c r="E43" s="22">
        <v>1.0</v>
      </c>
      <c r="F43" s="22">
        <v>0.0</v>
      </c>
      <c r="G43" s="22">
        <v>0.0</v>
      </c>
      <c r="H43" s="22">
        <v>0.0</v>
      </c>
      <c r="I43" s="22">
        <v>0.0</v>
      </c>
      <c r="J43" s="25">
        <f t="shared" si="5"/>
        <v>2</v>
      </c>
      <c r="K43" s="23">
        <v>2.0</v>
      </c>
      <c r="L43" s="23">
        <v>0.0</v>
      </c>
      <c r="M43" s="25">
        <f t="shared" si="6"/>
        <v>2</v>
      </c>
      <c r="N43" s="23">
        <v>0.0</v>
      </c>
      <c r="O43" s="23">
        <v>0.0</v>
      </c>
      <c r="P43" s="23">
        <v>2.0</v>
      </c>
      <c r="Q43" s="23">
        <v>0.0</v>
      </c>
      <c r="R43" s="23">
        <v>0.0</v>
      </c>
      <c r="S43" s="26">
        <f t="shared" si="7"/>
        <v>2</v>
      </c>
      <c r="T43" s="23">
        <v>2.0</v>
      </c>
      <c r="U43" s="23">
        <v>0.0</v>
      </c>
      <c r="V43" s="23">
        <v>0.0</v>
      </c>
      <c r="W43" s="23">
        <v>0.0</v>
      </c>
      <c r="X43" s="26">
        <f t="shared" si="8"/>
        <v>2</v>
      </c>
    </row>
    <row r="44">
      <c r="A44" s="20" t="s">
        <v>65</v>
      </c>
      <c r="B44" s="27">
        <v>1.0</v>
      </c>
      <c r="C44" s="22">
        <v>0.0</v>
      </c>
      <c r="D44" s="22">
        <v>1.0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5">
        <f t="shared" si="5"/>
        <v>1</v>
      </c>
      <c r="K44" s="23">
        <v>1.0</v>
      </c>
      <c r="L44" s="23">
        <v>0.0</v>
      </c>
      <c r="M44" s="25">
        <f t="shared" si="6"/>
        <v>1</v>
      </c>
      <c r="N44" s="23">
        <v>0.0</v>
      </c>
      <c r="O44" s="23">
        <v>0.0</v>
      </c>
      <c r="P44" s="23">
        <v>0.0</v>
      </c>
      <c r="Q44" s="23">
        <v>1.0</v>
      </c>
      <c r="R44" s="23">
        <v>0.0</v>
      </c>
      <c r="S44" s="26">
        <f t="shared" si="7"/>
        <v>1</v>
      </c>
      <c r="T44" s="23">
        <v>0.0</v>
      </c>
      <c r="U44" s="23">
        <v>0.0</v>
      </c>
      <c r="V44" s="23">
        <v>0.0</v>
      </c>
      <c r="W44" s="23">
        <v>1.0</v>
      </c>
      <c r="X44" s="26">
        <f t="shared" si="8"/>
        <v>1</v>
      </c>
    </row>
    <row r="45">
      <c r="A45" s="20" t="s">
        <v>66</v>
      </c>
      <c r="B45" s="27">
        <v>66.0</v>
      </c>
      <c r="C45" s="22">
        <v>1.0</v>
      </c>
      <c r="D45" s="22">
        <v>63.0</v>
      </c>
      <c r="E45" s="22">
        <v>1.0</v>
      </c>
      <c r="F45" s="22">
        <v>0.0</v>
      </c>
      <c r="G45" s="22">
        <v>0.0</v>
      </c>
      <c r="H45" s="22">
        <v>0.0</v>
      </c>
      <c r="I45" s="22">
        <v>0.0</v>
      </c>
      <c r="J45" s="25">
        <f t="shared" si="5"/>
        <v>65</v>
      </c>
      <c r="K45" s="23">
        <v>40.0</v>
      </c>
      <c r="L45" s="23">
        <v>25.0</v>
      </c>
      <c r="M45" s="25">
        <f t="shared" si="6"/>
        <v>65</v>
      </c>
      <c r="N45" s="23">
        <v>29.0</v>
      </c>
      <c r="O45" s="23">
        <v>34.0</v>
      </c>
      <c r="P45" s="23">
        <v>0.0</v>
      </c>
      <c r="Q45" s="23">
        <v>0.0</v>
      </c>
      <c r="R45" s="23">
        <v>2.0</v>
      </c>
      <c r="S45" s="26">
        <f t="shared" si="7"/>
        <v>65</v>
      </c>
      <c r="T45" s="23">
        <v>36.0</v>
      </c>
      <c r="U45" s="23">
        <v>1.0</v>
      </c>
      <c r="V45" s="23">
        <v>17.0</v>
      </c>
      <c r="W45" s="23">
        <v>11.0</v>
      </c>
      <c r="X45" s="26">
        <f t="shared" si="8"/>
        <v>65</v>
      </c>
    </row>
    <row r="46">
      <c r="A46" s="20" t="s">
        <v>67</v>
      </c>
      <c r="B46" s="27">
        <v>0.0</v>
      </c>
      <c r="C46" s="22">
        <v>0.0</v>
      </c>
      <c r="D46" s="22">
        <v>0.0</v>
      </c>
      <c r="E46" s="22">
        <v>0.0</v>
      </c>
      <c r="F46" s="22">
        <v>0.0</v>
      </c>
      <c r="G46" s="22">
        <v>0.0</v>
      </c>
      <c r="H46" s="22">
        <v>0.0</v>
      </c>
      <c r="I46" s="22">
        <v>0.0</v>
      </c>
      <c r="J46" s="25">
        <f t="shared" si="5"/>
        <v>0</v>
      </c>
      <c r="K46" s="23">
        <v>0.0</v>
      </c>
      <c r="L46" s="23">
        <v>0.0</v>
      </c>
      <c r="M46" s="25">
        <f t="shared" si="6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6">
        <f t="shared" si="7"/>
        <v>0</v>
      </c>
      <c r="T46" s="23">
        <v>0.0</v>
      </c>
      <c r="U46" s="23">
        <v>0.0</v>
      </c>
      <c r="V46" s="23">
        <v>0.0</v>
      </c>
      <c r="W46" s="23">
        <v>0.0</v>
      </c>
      <c r="X46" s="26">
        <f t="shared" si="8"/>
        <v>0</v>
      </c>
    </row>
    <row r="47">
      <c r="A47" s="20" t="s">
        <v>68</v>
      </c>
      <c r="B47" s="27">
        <v>7.0</v>
      </c>
      <c r="C47" s="22">
        <v>0.0</v>
      </c>
      <c r="D47" s="22">
        <v>7.0</v>
      </c>
      <c r="E47" s="22">
        <v>0.0</v>
      </c>
      <c r="F47" s="22">
        <v>0.0</v>
      </c>
      <c r="G47" s="22">
        <v>0.0</v>
      </c>
      <c r="H47" s="22">
        <v>0.0</v>
      </c>
      <c r="I47" s="22">
        <v>0.0</v>
      </c>
      <c r="J47" s="25">
        <f t="shared" si="5"/>
        <v>7</v>
      </c>
      <c r="K47" s="23">
        <v>4.0</v>
      </c>
      <c r="L47" s="23">
        <v>3.0</v>
      </c>
      <c r="M47" s="25">
        <f t="shared" si="6"/>
        <v>7</v>
      </c>
      <c r="N47" s="23">
        <v>7.0</v>
      </c>
      <c r="O47" s="23">
        <v>0.0</v>
      </c>
      <c r="P47" s="23">
        <v>0.0</v>
      </c>
      <c r="Q47" s="23">
        <v>0.0</v>
      </c>
      <c r="R47" s="23">
        <v>0.0</v>
      </c>
      <c r="S47" s="26">
        <f t="shared" si="7"/>
        <v>7</v>
      </c>
      <c r="T47" s="23">
        <v>4.0</v>
      </c>
      <c r="U47" s="23">
        <v>1.0</v>
      </c>
      <c r="V47" s="23">
        <v>2.0</v>
      </c>
      <c r="W47" s="23">
        <v>0.0</v>
      </c>
      <c r="X47" s="26">
        <f t="shared" si="8"/>
        <v>7</v>
      </c>
    </row>
    <row r="48">
      <c r="A48" s="20" t="s">
        <v>69</v>
      </c>
      <c r="B48" s="21">
        <v>0.0</v>
      </c>
      <c r="C48" s="22">
        <v>0.0</v>
      </c>
      <c r="D48" s="22">
        <v>0.0</v>
      </c>
      <c r="E48" s="22">
        <v>0.0</v>
      </c>
      <c r="F48" s="22">
        <v>0.0</v>
      </c>
      <c r="G48" s="22">
        <v>0.0</v>
      </c>
      <c r="H48" s="22">
        <v>0.0</v>
      </c>
      <c r="I48" s="22">
        <v>0.0</v>
      </c>
      <c r="J48" s="25">
        <f t="shared" si="5"/>
        <v>0</v>
      </c>
      <c r="K48" s="23">
        <v>0.0</v>
      </c>
      <c r="L48" s="23">
        <v>0.0</v>
      </c>
      <c r="M48" s="25">
        <f t="shared" si="6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6">
        <f t="shared" si="7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8"/>
        <v>0</v>
      </c>
    </row>
    <row r="49">
      <c r="A49" s="20" t="s">
        <v>70</v>
      </c>
      <c r="B49" s="21">
        <v>8.0</v>
      </c>
      <c r="C49" s="22">
        <v>0.0</v>
      </c>
      <c r="D49" s="22">
        <v>8.0</v>
      </c>
      <c r="E49" s="22">
        <v>0.0</v>
      </c>
      <c r="F49" s="22">
        <v>0.0</v>
      </c>
      <c r="G49" s="22">
        <v>0.0</v>
      </c>
      <c r="H49" s="22">
        <v>0.0</v>
      </c>
      <c r="I49" s="22">
        <v>0.0</v>
      </c>
      <c r="J49" s="25">
        <f t="shared" si="5"/>
        <v>8</v>
      </c>
      <c r="K49" s="23">
        <v>7.0</v>
      </c>
      <c r="L49" s="23">
        <v>1.0</v>
      </c>
      <c r="M49" s="25">
        <f t="shared" si="6"/>
        <v>8</v>
      </c>
      <c r="N49" s="23">
        <v>3.0</v>
      </c>
      <c r="O49" s="23">
        <v>5.0</v>
      </c>
      <c r="P49" s="23">
        <v>0.0</v>
      </c>
      <c r="Q49" s="23">
        <v>0.0</v>
      </c>
      <c r="R49" s="23">
        <v>0.0</v>
      </c>
      <c r="S49" s="26">
        <f t="shared" si="7"/>
        <v>8</v>
      </c>
      <c r="T49" s="23">
        <v>6.0</v>
      </c>
      <c r="U49" s="23">
        <v>0.0</v>
      </c>
      <c r="V49" s="23">
        <v>1.0</v>
      </c>
      <c r="W49" s="23">
        <v>1.0</v>
      </c>
      <c r="X49" s="26">
        <f t="shared" si="8"/>
        <v>8</v>
      </c>
    </row>
    <row r="50">
      <c r="A50" s="20" t="s">
        <v>71</v>
      </c>
      <c r="B50" s="21">
        <v>132.0</v>
      </c>
      <c r="C50" s="22">
        <v>21.0</v>
      </c>
      <c r="D50" s="22">
        <v>103.0</v>
      </c>
      <c r="E50" s="22">
        <v>2.0</v>
      </c>
      <c r="F50" s="22">
        <v>0.0</v>
      </c>
      <c r="G50" s="22">
        <v>0.0</v>
      </c>
      <c r="H50" s="22">
        <v>3.0</v>
      </c>
      <c r="I50" s="22">
        <v>1.0</v>
      </c>
      <c r="J50" s="25">
        <f t="shared" si="5"/>
        <v>130</v>
      </c>
      <c r="K50" s="23">
        <v>104.0</v>
      </c>
      <c r="L50" s="23">
        <v>26.0</v>
      </c>
      <c r="M50" s="25">
        <f t="shared" si="6"/>
        <v>130</v>
      </c>
      <c r="N50" s="23">
        <v>28.0</v>
      </c>
      <c r="O50" s="23">
        <v>103.0</v>
      </c>
      <c r="P50" s="23">
        <v>0.0</v>
      </c>
      <c r="Q50" s="23">
        <v>0.0</v>
      </c>
      <c r="R50" s="23">
        <v>0.0</v>
      </c>
      <c r="S50" s="26">
        <f t="shared" si="7"/>
        <v>131</v>
      </c>
      <c r="T50" s="23">
        <v>94.0</v>
      </c>
      <c r="U50" s="23">
        <v>1.0</v>
      </c>
      <c r="V50" s="23">
        <v>20.0</v>
      </c>
      <c r="W50" s="23">
        <v>15.0</v>
      </c>
      <c r="X50" s="26">
        <f t="shared" si="8"/>
        <v>130</v>
      </c>
    </row>
    <row r="51">
      <c r="A51" s="20" t="s">
        <v>72</v>
      </c>
      <c r="B51" s="21">
        <v>2.0</v>
      </c>
      <c r="C51" s="22">
        <v>0.0</v>
      </c>
      <c r="D51" s="22">
        <v>2.0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5">
        <f t="shared" si="5"/>
        <v>2</v>
      </c>
      <c r="K51" s="23">
        <v>2.0</v>
      </c>
      <c r="L51" s="23">
        <v>0.0</v>
      </c>
      <c r="M51" s="25">
        <f t="shared" si="6"/>
        <v>2</v>
      </c>
      <c r="N51" s="23">
        <v>0.0</v>
      </c>
      <c r="O51" s="23">
        <v>1.0</v>
      </c>
      <c r="P51" s="23">
        <v>0.0</v>
      </c>
      <c r="Q51" s="23">
        <v>1.0</v>
      </c>
      <c r="R51" s="23">
        <v>0.0</v>
      </c>
      <c r="S51" s="26">
        <f t="shared" si="7"/>
        <v>2</v>
      </c>
      <c r="T51" s="23">
        <v>1.0</v>
      </c>
      <c r="U51" s="23">
        <v>0.0</v>
      </c>
      <c r="V51" s="23">
        <v>1.0</v>
      </c>
      <c r="W51" s="23">
        <v>0.0</v>
      </c>
      <c r="X51" s="26">
        <f t="shared" si="8"/>
        <v>2</v>
      </c>
    </row>
    <row r="52">
      <c r="A52" s="20" t="s">
        <v>73</v>
      </c>
      <c r="B52" s="31">
        <v>0.0</v>
      </c>
      <c r="C52" s="22">
        <v>0.0</v>
      </c>
      <c r="D52" s="22">
        <v>0.0</v>
      </c>
      <c r="E52" s="22">
        <v>0.0</v>
      </c>
      <c r="F52" s="22">
        <v>0.0</v>
      </c>
      <c r="G52" s="22">
        <v>0.0</v>
      </c>
      <c r="H52" s="22">
        <v>0.0</v>
      </c>
      <c r="I52" s="22">
        <v>0.0</v>
      </c>
      <c r="J52" s="25">
        <f t="shared" si="5"/>
        <v>0</v>
      </c>
      <c r="K52" s="23">
        <v>0.0</v>
      </c>
      <c r="L52" s="23">
        <v>0.0</v>
      </c>
      <c r="M52" s="25">
        <f t="shared" si="6"/>
        <v>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6">
        <f t="shared" si="7"/>
        <v>0</v>
      </c>
      <c r="T52" s="23">
        <v>0.0</v>
      </c>
      <c r="U52" s="23">
        <v>0.0</v>
      </c>
      <c r="V52" s="23">
        <v>0.0</v>
      </c>
      <c r="W52" s="23">
        <v>0.0</v>
      </c>
      <c r="X52" s="26">
        <f t="shared" si="8"/>
        <v>0</v>
      </c>
    </row>
    <row r="53">
      <c r="A53" s="20" t="s">
        <v>74</v>
      </c>
      <c r="B53" s="31">
        <v>74.0</v>
      </c>
      <c r="C53" s="22">
        <v>0.0</v>
      </c>
      <c r="D53" s="22">
        <v>74.0</v>
      </c>
      <c r="E53" s="22">
        <v>0.0</v>
      </c>
      <c r="F53" s="22">
        <v>0.0</v>
      </c>
      <c r="G53" s="22">
        <v>0.0</v>
      </c>
      <c r="H53" s="22">
        <v>0.0</v>
      </c>
      <c r="I53" s="22">
        <v>0.0</v>
      </c>
      <c r="J53" s="25">
        <f t="shared" si="5"/>
        <v>74</v>
      </c>
      <c r="K53" s="23">
        <v>74.0</v>
      </c>
      <c r="L53" s="23">
        <v>0.0</v>
      </c>
      <c r="M53" s="25">
        <f t="shared" si="6"/>
        <v>74</v>
      </c>
      <c r="N53" s="23">
        <v>72.0</v>
      </c>
      <c r="O53" s="23">
        <v>2.0</v>
      </c>
      <c r="P53" s="23">
        <v>0.0</v>
      </c>
      <c r="Q53" s="23">
        <v>0.0</v>
      </c>
      <c r="R53" s="23">
        <v>0.0</v>
      </c>
      <c r="S53" s="26">
        <f t="shared" si="7"/>
        <v>74</v>
      </c>
      <c r="T53" s="23">
        <v>35.0</v>
      </c>
      <c r="U53" s="23">
        <v>0.0</v>
      </c>
      <c r="V53" s="23">
        <v>17.0</v>
      </c>
      <c r="W53" s="23">
        <v>22.0</v>
      </c>
      <c r="X53" s="26">
        <f t="shared" si="8"/>
        <v>74</v>
      </c>
    </row>
    <row r="54">
      <c r="A54" s="20" t="s">
        <v>75</v>
      </c>
      <c r="B54" s="31"/>
      <c r="C54" s="22"/>
      <c r="D54" s="22"/>
      <c r="E54" s="22"/>
      <c r="F54" s="22"/>
      <c r="G54" s="22"/>
      <c r="H54" s="22"/>
      <c r="I54" s="22"/>
      <c r="J54" s="25"/>
      <c r="K54" s="23"/>
      <c r="L54" s="23"/>
      <c r="M54" s="25"/>
      <c r="N54" s="23"/>
      <c r="O54" s="23"/>
      <c r="P54" s="23"/>
      <c r="Q54" s="23"/>
      <c r="R54" s="23"/>
      <c r="S54" s="26"/>
      <c r="T54" s="23"/>
      <c r="U54" s="23"/>
      <c r="V54" s="23"/>
      <c r="W54" s="23"/>
      <c r="X54" s="26"/>
    </row>
    <row r="55">
      <c r="A55" s="20" t="s">
        <v>76</v>
      </c>
      <c r="B55" s="31">
        <v>0.0</v>
      </c>
      <c r="C55" s="22">
        <v>0.0</v>
      </c>
      <c r="D55" s="22">
        <v>0.0</v>
      </c>
      <c r="E55" s="22">
        <v>0.0</v>
      </c>
      <c r="F55" s="22">
        <v>0.0</v>
      </c>
      <c r="G55" s="22">
        <v>0.0</v>
      </c>
      <c r="H55" s="22">
        <v>0.0</v>
      </c>
      <c r="I55" s="22">
        <v>0.0</v>
      </c>
      <c r="J55" s="25">
        <f t="shared" ref="J55:J65" si="9">sum(C55:I55)</f>
        <v>0</v>
      </c>
      <c r="K55" s="23">
        <v>0.0</v>
      </c>
      <c r="L55" s="23">
        <v>0.0</v>
      </c>
      <c r="M55" s="25">
        <f t="shared" ref="M55:M65" si="10">sum(K55:L55)</f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6">
        <f t="shared" ref="S55:S65" si="11">sum(N55:R55)</f>
        <v>0</v>
      </c>
      <c r="T55" s="23">
        <v>0.0</v>
      </c>
      <c r="U55" s="23">
        <v>0.0</v>
      </c>
      <c r="V55" s="23">
        <v>0.0</v>
      </c>
      <c r="W55" s="23">
        <v>0.0</v>
      </c>
      <c r="X55" s="26">
        <f t="shared" ref="X55:X65" si="12">sum(T55:W55)</f>
        <v>0</v>
      </c>
    </row>
    <row r="56">
      <c r="A56" s="20" t="s">
        <v>77</v>
      </c>
      <c r="B56" s="31">
        <v>3.0</v>
      </c>
      <c r="C56" s="22">
        <v>0.0</v>
      </c>
      <c r="D56" s="22">
        <v>3.0</v>
      </c>
      <c r="E56" s="22">
        <v>0.0</v>
      </c>
      <c r="F56" s="22">
        <v>0.0</v>
      </c>
      <c r="G56" s="22">
        <v>0.0</v>
      </c>
      <c r="H56" s="22">
        <v>0.0</v>
      </c>
      <c r="I56" s="22">
        <v>0.0</v>
      </c>
      <c r="J56" s="25">
        <f t="shared" si="9"/>
        <v>3</v>
      </c>
      <c r="K56" s="23">
        <v>2.0</v>
      </c>
      <c r="L56" s="23">
        <v>1.0</v>
      </c>
      <c r="M56" s="25">
        <f t="shared" si="10"/>
        <v>3</v>
      </c>
      <c r="N56" s="23">
        <v>1.0</v>
      </c>
      <c r="O56" s="23">
        <v>1.0</v>
      </c>
      <c r="P56" s="23">
        <v>0.0</v>
      </c>
      <c r="Q56" s="23">
        <v>0.0</v>
      </c>
      <c r="R56" s="23">
        <v>1.0</v>
      </c>
      <c r="S56" s="26">
        <f t="shared" si="11"/>
        <v>3</v>
      </c>
      <c r="T56" s="23">
        <v>2.0</v>
      </c>
      <c r="U56" s="23">
        <v>0.0</v>
      </c>
      <c r="V56" s="23">
        <v>1.0</v>
      </c>
      <c r="W56" s="23">
        <v>0.0</v>
      </c>
      <c r="X56" s="26">
        <f t="shared" si="12"/>
        <v>3</v>
      </c>
    </row>
    <row r="57">
      <c r="A57" s="20" t="s">
        <v>78</v>
      </c>
      <c r="B57" s="34">
        <v>3.0</v>
      </c>
      <c r="C57" s="22">
        <v>0.0</v>
      </c>
      <c r="D57" s="22">
        <v>3.0</v>
      </c>
      <c r="E57" s="22">
        <v>0.0</v>
      </c>
      <c r="F57" s="22">
        <v>0.0</v>
      </c>
      <c r="G57" s="22">
        <v>0.0</v>
      </c>
      <c r="H57" s="22">
        <v>0.0</v>
      </c>
      <c r="I57" s="22">
        <v>0.0</v>
      </c>
      <c r="J57" s="25">
        <f t="shared" si="9"/>
        <v>3</v>
      </c>
      <c r="K57" s="23">
        <v>3.0</v>
      </c>
      <c r="L57" s="23">
        <v>0.0</v>
      </c>
      <c r="M57" s="25">
        <f t="shared" si="10"/>
        <v>3</v>
      </c>
      <c r="N57" s="23">
        <v>0.0</v>
      </c>
      <c r="O57" s="23">
        <v>0.0</v>
      </c>
      <c r="P57" s="23">
        <v>3.0</v>
      </c>
      <c r="Q57" s="23">
        <v>0.0</v>
      </c>
      <c r="R57" s="23">
        <v>0.0</v>
      </c>
      <c r="S57" s="26">
        <f t="shared" si="11"/>
        <v>3</v>
      </c>
      <c r="T57" s="23">
        <v>0.0</v>
      </c>
      <c r="U57" s="23">
        <v>0.0</v>
      </c>
      <c r="V57" s="23">
        <v>2.0</v>
      </c>
      <c r="W57" s="23">
        <v>1.0</v>
      </c>
      <c r="X57" s="26">
        <f t="shared" si="12"/>
        <v>3</v>
      </c>
    </row>
    <row r="58">
      <c r="A58" s="20" t="s">
        <v>79</v>
      </c>
      <c r="B58" s="31">
        <v>1.0</v>
      </c>
      <c r="C58" s="22">
        <v>0.0</v>
      </c>
      <c r="D58" s="22">
        <v>1.0</v>
      </c>
      <c r="E58" s="22">
        <v>0.0</v>
      </c>
      <c r="F58" s="22">
        <v>0.0</v>
      </c>
      <c r="G58" s="22">
        <v>0.0</v>
      </c>
      <c r="H58" s="22">
        <v>0.0</v>
      </c>
      <c r="I58" s="22">
        <v>0.0</v>
      </c>
      <c r="J58" s="25">
        <f t="shared" si="9"/>
        <v>1</v>
      </c>
      <c r="K58" s="23">
        <v>1.0</v>
      </c>
      <c r="L58" s="23">
        <v>0.0</v>
      </c>
      <c r="M58" s="25">
        <f t="shared" si="10"/>
        <v>1</v>
      </c>
      <c r="N58" s="23">
        <v>0.0</v>
      </c>
      <c r="O58" s="23">
        <v>0.0</v>
      </c>
      <c r="P58" s="23">
        <v>1.0</v>
      </c>
      <c r="Q58" s="23">
        <v>0.0</v>
      </c>
      <c r="R58" s="23">
        <v>0.0</v>
      </c>
      <c r="S58" s="26">
        <f t="shared" si="11"/>
        <v>1</v>
      </c>
      <c r="T58" s="23">
        <v>1.0</v>
      </c>
      <c r="U58" s="23">
        <v>0.0</v>
      </c>
      <c r="V58" s="23">
        <v>0.0</v>
      </c>
      <c r="W58" s="23">
        <v>0.0</v>
      </c>
      <c r="X58" s="26">
        <f t="shared" si="12"/>
        <v>1</v>
      </c>
    </row>
    <row r="59">
      <c r="A59" s="20" t="s">
        <v>80</v>
      </c>
      <c r="B59" s="31">
        <v>18.0</v>
      </c>
      <c r="C59" s="22">
        <v>0.0</v>
      </c>
      <c r="D59" s="22">
        <v>18.0</v>
      </c>
      <c r="E59" s="22">
        <v>0.0</v>
      </c>
      <c r="F59" s="22">
        <v>0.0</v>
      </c>
      <c r="G59" s="22">
        <v>0.0</v>
      </c>
      <c r="H59" s="22">
        <v>0.0</v>
      </c>
      <c r="I59" s="22">
        <v>0.0</v>
      </c>
      <c r="J59" s="25">
        <f t="shared" si="9"/>
        <v>18</v>
      </c>
      <c r="K59" s="23">
        <v>11.0</v>
      </c>
      <c r="L59" s="23">
        <v>7.0</v>
      </c>
      <c r="M59" s="25">
        <f t="shared" si="10"/>
        <v>18</v>
      </c>
      <c r="N59" s="23">
        <v>8.0</v>
      </c>
      <c r="O59" s="23">
        <v>10.0</v>
      </c>
      <c r="P59" s="23">
        <v>0.0</v>
      </c>
      <c r="Q59" s="23">
        <v>0.0</v>
      </c>
      <c r="R59" s="23">
        <v>0.0</v>
      </c>
      <c r="S59" s="26">
        <f t="shared" si="11"/>
        <v>18</v>
      </c>
      <c r="T59" s="23">
        <v>6.0</v>
      </c>
      <c r="U59" s="23">
        <v>0.0</v>
      </c>
      <c r="V59" s="23">
        <v>7.0</v>
      </c>
      <c r="W59" s="23">
        <v>5.0</v>
      </c>
      <c r="X59" s="26">
        <f t="shared" si="12"/>
        <v>18</v>
      </c>
    </row>
    <row r="60">
      <c r="A60" s="20" t="s">
        <v>81</v>
      </c>
      <c r="B60" s="31">
        <v>0.0</v>
      </c>
      <c r="C60" s="22">
        <v>0.0</v>
      </c>
      <c r="D60" s="22">
        <v>0.0</v>
      </c>
      <c r="E60" s="22">
        <v>0.0</v>
      </c>
      <c r="F60" s="22">
        <v>0.0</v>
      </c>
      <c r="G60" s="22">
        <v>0.0</v>
      </c>
      <c r="H60" s="22">
        <v>0.0</v>
      </c>
      <c r="I60" s="22">
        <v>0.0</v>
      </c>
      <c r="J60" s="25">
        <f t="shared" si="9"/>
        <v>0</v>
      </c>
      <c r="K60" s="23">
        <v>0.0</v>
      </c>
      <c r="L60" s="23">
        <v>0.0</v>
      </c>
      <c r="M60" s="25">
        <f t="shared" si="10"/>
        <v>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6">
        <f t="shared" si="11"/>
        <v>0</v>
      </c>
      <c r="T60" s="23">
        <v>0.0</v>
      </c>
      <c r="U60" s="23">
        <v>0.0</v>
      </c>
      <c r="V60" s="23">
        <v>0.0</v>
      </c>
      <c r="W60" s="23">
        <v>0.0</v>
      </c>
      <c r="X60" s="26">
        <f t="shared" si="12"/>
        <v>0</v>
      </c>
    </row>
    <row r="61">
      <c r="A61" s="20" t="s">
        <v>82</v>
      </c>
      <c r="B61" s="31">
        <v>8.0</v>
      </c>
      <c r="C61" s="22">
        <v>0.0</v>
      </c>
      <c r="D61" s="22">
        <v>8.0</v>
      </c>
      <c r="E61" s="22">
        <v>0.0</v>
      </c>
      <c r="F61" s="22">
        <v>0.0</v>
      </c>
      <c r="G61" s="22">
        <v>0.0</v>
      </c>
      <c r="H61" s="22">
        <v>0.0</v>
      </c>
      <c r="I61" s="22">
        <v>0.0</v>
      </c>
      <c r="J61" s="25">
        <f t="shared" si="9"/>
        <v>8</v>
      </c>
      <c r="K61" s="23">
        <v>5.0</v>
      </c>
      <c r="L61" s="23">
        <v>3.0</v>
      </c>
      <c r="M61" s="25">
        <f t="shared" si="10"/>
        <v>8</v>
      </c>
      <c r="N61" s="23">
        <v>1.0</v>
      </c>
      <c r="O61" s="23">
        <v>7.0</v>
      </c>
      <c r="P61" s="23">
        <v>0.0</v>
      </c>
      <c r="Q61" s="23">
        <v>0.0</v>
      </c>
      <c r="R61" s="23">
        <v>0.0</v>
      </c>
      <c r="S61" s="26">
        <f t="shared" si="11"/>
        <v>8</v>
      </c>
      <c r="T61" s="23">
        <v>6.0</v>
      </c>
      <c r="U61" s="23">
        <v>0.0</v>
      </c>
      <c r="V61" s="23">
        <v>2.0</v>
      </c>
      <c r="W61" s="23">
        <v>0.0</v>
      </c>
      <c r="X61" s="26">
        <f t="shared" si="12"/>
        <v>8</v>
      </c>
    </row>
    <row r="62">
      <c r="A62" s="20" t="s">
        <v>83</v>
      </c>
      <c r="B62" s="31">
        <v>6.0</v>
      </c>
      <c r="C62" s="22">
        <v>0.0</v>
      </c>
      <c r="D62" s="22">
        <v>6.0</v>
      </c>
      <c r="E62" s="22">
        <v>0.0</v>
      </c>
      <c r="F62" s="22">
        <v>0.0</v>
      </c>
      <c r="G62" s="22">
        <v>0.0</v>
      </c>
      <c r="H62" s="22">
        <v>0.0</v>
      </c>
      <c r="I62" s="22">
        <v>0.0</v>
      </c>
      <c r="J62" s="25">
        <f t="shared" si="9"/>
        <v>6</v>
      </c>
      <c r="K62" s="23">
        <v>6.0</v>
      </c>
      <c r="L62" s="23">
        <v>0.0</v>
      </c>
      <c r="M62" s="25">
        <f t="shared" si="10"/>
        <v>6</v>
      </c>
      <c r="N62" s="23">
        <v>1.0</v>
      </c>
      <c r="O62" s="23">
        <v>3.0</v>
      </c>
      <c r="P62" s="23">
        <v>2.0</v>
      </c>
      <c r="Q62" s="23">
        <v>0.0</v>
      </c>
      <c r="R62" s="23">
        <v>0.0</v>
      </c>
      <c r="S62" s="26">
        <f t="shared" si="11"/>
        <v>6</v>
      </c>
      <c r="T62" s="23">
        <v>6.0</v>
      </c>
      <c r="U62" s="23">
        <v>0.0</v>
      </c>
      <c r="V62" s="23">
        <v>0.0</v>
      </c>
      <c r="W62" s="23">
        <v>0.0</v>
      </c>
      <c r="X62" s="26">
        <f t="shared" si="12"/>
        <v>6</v>
      </c>
    </row>
    <row r="63">
      <c r="A63" s="20" t="s">
        <v>84</v>
      </c>
      <c r="B63" s="31">
        <v>28.0</v>
      </c>
      <c r="C63" s="22">
        <v>0.0</v>
      </c>
      <c r="D63" s="22">
        <v>26.0</v>
      </c>
      <c r="E63" s="22">
        <v>2.0</v>
      </c>
      <c r="F63" s="22">
        <v>0.0</v>
      </c>
      <c r="G63" s="22">
        <v>0.0</v>
      </c>
      <c r="H63" s="22">
        <v>0.0</v>
      </c>
      <c r="I63" s="22">
        <v>0.0</v>
      </c>
      <c r="J63" s="25">
        <f t="shared" si="9"/>
        <v>28</v>
      </c>
      <c r="K63" s="23">
        <v>28.0</v>
      </c>
      <c r="L63" s="23">
        <v>0.0</v>
      </c>
      <c r="M63" s="25">
        <f t="shared" si="10"/>
        <v>28</v>
      </c>
      <c r="N63" s="23">
        <v>21.0</v>
      </c>
      <c r="O63" s="23">
        <v>3.0</v>
      </c>
      <c r="P63" s="23">
        <v>2.0</v>
      </c>
      <c r="Q63" s="23">
        <v>0.0</v>
      </c>
      <c r="R63" s="23">
        <v>2.0</v>
      </c>
      <c r="S63" s="26">
        <f t="shared" si="11"/>
        <v>28</v>
      </c>
      <c r="T63" s="23">
        <v>23.0</v>
      </c>
      <c r="U63" s="23">
        <v>5.0</v>
      </c>
      <c r="V63" s="23">
        <v>0.0</v>
      </c>
      <c r="W63" s="23">
        <v>0.0</v>
      </c>
      <c r="X63" s="26">
        <f t="shared" si="12"/>
        <v>28</v>
      </c>
    </row>
    <row r="64">
      <c r="A64" s="20" t="s">
        <v>85</v>
      </c>
      <c r="B64" s="31">
        <v>14.0</v>
      </c>
      <c r="C64" s="22">
        <v>0.0</v>
      </c>
      <c r="D64" s="22">
        <v>13.0</v>
      </c>
      <c r="E64" s="22">
        <v>1.0</v>
      </c>
      <c r="F64" s="22">
        <v>0.0</v>
      </c>
      <c r="G64" s="22">
        <v>0.0</v>
      </c>
      <c r="H64" s="22">
        <v>0.0</v>
      </c>
      <c r="I64" s="22">
        <v>0.0</v>
      </c>
      <c r="J64" s="25">
        <f t="shared" si="9"/>
        <v>14</v>
      </c>
      <c r="K64" s="23">
        <v>14.0</v>
      </c>
      <c r="L64" s="23">
        <v>0.0</v>
      </c>
      <c r="M64" s="25">
        <f t="shared" si="10"/>
        <v>14</v>
      </c>
      <c r="N64" s="23">
        <v>7.0</v>
      </c>
      <c r="O64" s="23">
        <v>3.0</v>
      </c>
      <c r="P64" s="23">
        <v>3.0</v>
      </c>
      <c r="Q64" s="23">
        <v>0.0</v>
      </c>
      <c r="R64" s="23">
        <v>1.0</v>
      </c>
      <c r="S64" s="26">
        <f t="shared" si="11"/>
        <v>14</v>
      </c>
      <c r="T64" s="23">
        <v>5.0</v>
      </c>
      <c r="U64" s="23">
        <v>5.0</v>
      </c>
      <c r="V64" s="23">
        <v>1.0</v>
      </c>
      <c r="W64" s="23">
        <v>3.0</v>
      </c>
      <c r="X64" s="26">
        <f t="shared" si="12"/>
        <v>14</v>
      </c>
    </row>
    <row r="65">
      <c r="A65" s="20" t="s">
        <v>86</v>
      </c>
      <c r="B65" s="31">
        <v>0.0</v>
      </c>
      <c r="C65" s="22">
        <v>0.0</v>
      </c>
      <c r="D65" s="22">
        <v>0.0</v>
      </c>
      <c r="E65" s="22">
        <v>0.0</v>
      </c>
      <c r="F65" s="22">
        <v>0.0</v>
      </c>
      <c r="G65" s="22">
        <v>0.0</v>
      </c>
      <c r="H65" s="22">
        <v>0.0</v>
      </c>
      <c r="I65" s="22">
        <v>0.0</v>
      </c>
      <c r="J65" s="25">
        <f t="shared" si="9"/>
        <v>0</v>
      </c>
      <c r="K65" s="23">
        <v>0.0</v>
      </c>
      <c r="L65" s="23">
        <v>0.0</v>
      </c>
      <c r="M65" s="25">
        <f t="shared" si="10"/>
        <v>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6">
        <f t="shared" si="11"/>
        <v>0</v>
      </c>
      <c r="T65" s="23">
        <v>0.0</v>
      </c>
      <c r="U65" s="23">
        <v>0.0</v>
      </c>
      <c r="V65" s="23">
        <v>0.0</v>
      </c>
      <c r="W65" s="23">
        <v>0.0</v>
      </c>
      <c r="X65" s="26">
        <f t="shared" si="12"/>
        <v>0</v>
      </c>
    </row>
    <row r="66">
      <c r="A66" s="31" t="s">
        <v>13</v>
      </c>
      <c r="B66" s="35">
        <f t="shared" ref="B66:X66" si="13">SUM(B4:B65)</f>
        <v>759</v>
      </c>
      <c r="C66" s="35">
        <f t="shared" si="13"/>
        <v>24</v>
      </c>
      <c r="D66" s="35">
        <f t="shared" si="13"/>
        <v>717</v>
      </c>
      <c r="E66" s="35">
        <f t="shared" si="13"/>
        <v>10</v>
      </c>
      <c r="F66" s="35">
        <f t="shared" si="13"/>
        <v>0</v>
      </c>
      <c r="G66" s="35">
        <f t="shared" si="13"/>
        <v>0</v>
      </c>
      <c r="H66" s="35">
        <f t="shared" si="13"/>
        <v>4</v>
      </c>
      <c r="I66" s="35">
        <f t="shared" si="13"/>
        <v>1</v>
      </c>
      <c r="J66" s="35">
        <f t="shared" si="13"/>
        <v>756</v>
      </c>
      <c r="K66" s="35">
        <f t="shared" si="13"/>
        <v>649</v>
      </c>
      <c r="L66" s="35">
        <f t="shared" si="13"/>
        <v>107</v>
      </c>
      <c r="M66" s="35">
        <f t="shared" si="13"/>
        <v>756</v>
      </c>
      <c r="N66" s="35">
        <f t="shared" si="13"/>
        <v>332</v>
      </c>
      <c r="O66" s="35">
        <f t="shared" si="13"/>
        <v>288</v>
      </c>
      <c r="P66" s="35">
        <f t="shared" si="13"/>
        <v>112</v>
      </c>
      <c r="Q66" s="35">
        <f t="shared" si="13"/>
        <v>14</v>
      </c>
      <c r="R66" s="35">
        <f t="shared" si="13"/>
        <v>11</v>
      </c>
      <c r="S66" s="35">
        <f t="shared" si="13"/>
        <v>757</v>
      </c>
      <c r="T66" s="35">
        <f t="shared" si="13"/>
        <v>506</v>
      </c>
      <c r="U66" s="35">
        <f t="shared" si="13"/>
        <v>15</v>
      </c>
      <c r="V66" s="35">
        <f t="shared" si="13"/>
        <v>139</v>
      </c>
      <c r="W66" s="35">
        <f t="shared" si="13"/>
        <v>96</v>
      </c>
      <c r="X66" s="35">
        <f t="shared" si="13"/>
        <v>756</v>
      </c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31.0</v>
      </c>
      <c r="C4" s="22">
        <v>0.0</v>
      </c>
      <c r="D4" s="22">
        <v>27.0</v>
      </c>
      <c r="E4" s="22">
        <v>0.0</v>
      </c>
      <c r="F4" s="22">
        <v>0.0</v>
      </c>
      <c r="G4" s="22">
        <v>0.0</v>
      </c>
      <c r="H4" s="22">
        <v>4.0</v>
      </c>
      <c r="I4" s="22">
        <v>0.0</v>
      </c>
      <c r="J4" s="25">
        <f t="shared" ref="J4:J38" si="1">sum(C4:I4)</f>
        <v>31</v>
      </c>
      <c r="K4" s="23">
        <v>24.0</v>
      </c>
      <c r="L4" s="23">
        <v>7.0</v>
      </c>
      <c r="M4" s="25">
        <f t="shared" ref="M4:M38" si="2">sum(K4:L4)</f>
        <v>31</v>
      </c>
      <c r="N4" s="23">
        <v>18.0</v>
      </c>
      <c r="O4" s="23">
        <v>13.0</v>
      </c>
      <c r="P4" s="23">
        <v>0.0</v>
      </c>
      <c r="Q4" s="23">
        <v>0.0</v>
      </c>
      <c r="R4" s="23">
        <v>0.0</v>
      </c>
      <c r="S4" s="26">
        <f t="shared" ref="S4:S38" si="3">sum(N4:R4)</f>
        <v>31</v>
      </c>
      <c r="T4" s="23">
        <v>21.0</v>
      </c>
      <c r="U4" s="23">
        <v>0.0</v>
      </c>
      <c r="V4" s="23">
        <v>7.0</v>
      </c>
      <c r="W4" s="23">
        <v>3.0</v>
      </c>
      <c r="X4" s="26">
        <f t="shared" ref="X4:X38" si="4">sum(T4:W4)</f>
        <v>31</v>
      </c>
    </row>
    <row r="5">
      <c r="A5" s="20" t="s">
        <v>26</v>
      </c>
      <c r="B5" s="21">
        <v>0.0</v>
      </c>
      <c r="C5" s="22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5">
        <f t="shared" si="1"/>
        <v>0</v>
      </c>
      <c r="K5" s="23">
        <v>0.0</v>
      </c>
      <c r="L5" s="23">
        <v>0.0</v>
      </c>
      <c r="M5" s="25">
        <f t="shared" si="2"/>
        <v>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6">
        <f t="shared" si="3"/>
        <v>0</v>
      </c>
      <c r="T5" s="23">
        <v>0.0</v>
      </c>
      <c r="U5" s="23">
        <v>0.0</v>
      </c>
      <c r="V5" s="23">
        <v>0.0</v>
      </c>
      <c r="W5" s="23">
        <v>0.0</v>
      </c>
      <c r="X5" s="26">
        <f t="shared" si="4"/>
        <v>0</v>
      </c>
    </row>
    <row r="6">
      <c r="A6" s="20" t="s">
        <v>27</v>
      </c>
      <c r="B6" s="21">
        <v>2.0</v>
      </c>
      <c r="C6" s="22">
        <v>0.0</v>
      </c>
      <c r="D6" s="22">
        <v>2.0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5">
        <f t="shared" si="1"/>
        <v>2</v>
      </c>
      <c r="K6" s="23">
        <v>1.0</v>
      </c>
      <c r="L6" s="23">
        <v>1.0</v>
      </c>
      <c r="M6" s="25">
        <f t="shared" si="2"/>
        <v>2</v>
      </c>
      <c r="N6" s="23">
        <v>0.0</v>
      </c>
      <c r="O6" s="23">
        <v>0.0</v>
      </c>
      <c r="P6" s="23">
        <v>2.0</v>
      </c>
      <c r="Q6" s="23">
        <v>0.0</v>
      </c>
      <c r="R6" s="23">
        <v>0.0</v>
      </c>
      <c r="S6" s="26">
        <f t="shared" si="3"/>
        <v>2</v>
      </c>
      <c r="T6" s="23">
        <v>1.0</v>
      </c>
      <c r="U6" s="23">
        <v>0.0</v>
      </c>
      <c r="V6" s="23">
        <v>0.0</v>
      </c>
      <c r="W6" s="23">
        <v>1.0</v>
      </c>
      <c r="X6" s="26">
        <f t="shared" si="4"/>
        <v>2</v>
      </c>
    </row>
    <row r="7">
      <c r="A7" s="20" t="s">
        <v>28</v>
      </c>
      <c r="B7" s="21">
        <v>7.0</v>
      </c>
      <c r="C7" s="22">
        <v>0.0</v>
      </c>
      <c r="D7" s="22">
        <v>7.0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5">
        <f t="shared" si="1"/>
        <v>7</v>
      </c>
      <c r="K7" s="23">
        <v>4.0</v>
      </c>
      <c r="L7" s="23">
        <v>3.0</v>
      </c>
      <c r="M7" s="25">
        <f t="shared" si="2"/>
        <v>7</v>
      </c>
      <c r="N7" s="23">
        <v>0.0</v>
      </c>
      <c r="O7" s="23">
        <v>4.0</v>
      </c>
      <c r="P7" s="23">
        <v>2.0</v>
      </c>
      <c r="Q7" s="23">
        <v>1.0</v>
      </c>
      <c r="R7" s="23">
        <v>0.0</v>
      </c>
      <c r="S7" s="26">
        <f t="shared" si="3"/>
        <v>7</v>
      </c>
      <c r="T7" s="23">
        <v>5.0</v>
      </c>
      <c r="U7" s="23">
        <v>0.0</v>
      </c>
      <c r="V7" s="23">
        <v>2.0</v>
      </c>
      <c r="W7" s="23">
        <v>0.0</v>
      </c>
      <c r="X7" s="26">
        <f t="shared" si="4"/>
        <v>7</v>
      </c>
    </row>
    <row r="8">
      <c r="A8" s="20" t="s">
        <v>29</v>
      </c>
      <c r="B8" s="21">
        <v>1.0</v>
      </c>
      <c r="C8" s="22">
        <v>0.0</v>
      </c>
      <c r="D8" s="22">
        <v>1.0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5">
        <f t="shared" si="1"/>
        <v>1</v>
      </c>
      <c r="K8" s="23">
        <v>1.0</v>
      </c>
      <c r="L8" s="23">
        <v>0.0</v>
      </c>
      <c r="M8" s="25">
        <f t="shared" si="2"/>
        <v>1</v>
      </c>
      <c r="N8" s="23">
        <v>0.0</v>
      </c>
      <c r="O8" s="23">
        <v>0.0</v>
      </c>
      <c r="P8" s="23">
        <v>1.0</v>
      </c>
      <c r="Q8" s="23">
        <v>0.0</v>
      </c>
      <c r="R8" s="23">
        <v>0.0</v>
      </c>
      <c r="S8" s="26">
        <f t="shared" si="3"/>
        <v>1</v>
      </c>
      <c r="T8" s="23">
        <v>1.0</v>
      </c>
      <c r="U8" s="23">
        <v>0.0</v>
      </c>
      <c r="V8" s="23">
        <v>0.0</v>
      </c>
      <c r="W8" s="23">
        <v>0.0</v>
      </c>
      <c r="X8" s="26">
        <f t="shared" si="4"/>
        <v>1</v>
      </c>
    </row>
    <row r="9">
      <c r="A9" s="20" t="s">
        <v>30</v>
      </c>
      <c r="B9" s="21">
        <v>1.0</v>
      </c>
      <c r="C9" s="22">
        <v>0.0</v>
      </c>
      <c r="D9" s="22">
        <v>1.0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5">
        <f t="shared" si="1"/>
        <v>1</v>
      </c>
      <c r="K9" s="23">
        <v>1.0</v>
      </c>
      <c r="L9" s="23">
        <v>0.0</v>
      </c>
      <c r="M9" s="25">
        <f t="shared" si="2"/>
        <v>1</v>
      </c>
      <c r="N9" s="23">
        <v>0.0</v>
      </c>
      <c r="O9" s="23">
        <v>0.0</v>
      </c>
      <c r="P9" s="23">
        <v>1.0</v>
      </c>
      <c r="Q9" s="23">
        <v>0.0</v>
      </c>
      <c r="R9" s="23">
        <v>0.0</v>
      </c>
      <c r="S9" s="26">
        <f t="shared" si="3"/>
        <v>1</v>
      </c>
      <c r="T9" s="23">
        <v>1.0</v>
      </c>
      <c r="U9" s="23">
        <v>0.0</v>
      </c>
      <c r="V9" s="23">
        <v>0.0</v>
      </c>
      <c r="W9" s="23">
        <v>0.0</v>
      </c>
      <c r="X9" s="26">
        <f t="shared" si="4"/>
        <v>1</v>
      </c>
    </row>
    <row r="10">
      <c r="A10" s="20" t="s">
        <v>31</v>
      </c>
      <c r="B10" s="21">
        <v>0.0</v>
      </c>
      <c r="C10" s="22">
        <v>0.0</v>
      </c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5">
        <f t="shared" si="1"/>
        <v>0</v>
      </c>
      <c r="K10" s="23">
        <v>0.0</v>
      </c>
      <c r="L10" s="23">
        <v>0.0</v>
      </c>
      <c r="M10" s="25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6">
        <f t="shared" si="3"/>
        <v>0</v>
      </c>
      <c r="T10" s="23">
        <v>0.0</v>
      </c>
      <c r="U10" s="23">
        <v>0.0</v>
      </c>
      <c r="V10" s="23">
        <v>0.0</v>
      </c>
      <c r="W10" s="23">
        <v>0.0</v>
      </c>
      <c r="X10" s="26">
        <f t="shared" si="4"/>
        <v>0</v>
      </c>
    </row>
    <row r="11">
      <c r="A11" s="20" t="s">
        <v>32</v>
      </c>
      <c r="B11" s="21">
        <v>0.0</v>
      </c>
      <c r="C11" s="22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7.0</v>
      </c>
      <c r="C12" s="22">
        <v>1.0</v>
      </c>
      <c r="D12" s="22">
        <v>6.0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5">
        <f t="shared" si="1"/>
        <v>7</v>
      </c>
      <c r="K12" s="23">
        <v>7.0</v>
      </c>
      <c r="L12" s="23">
        <v>0.0</v>
      </c>
      <c r="M12" s="25">
        <f t="shared" si="2"/>
        <v>7</v>
      </c>
      <c r="N12" s="23">
        <v>0.0</v>
      </c>
      <c r="O12" s="23">
        <v>4.0</v>
      </c>
      <c r="P12" s="23">
        <v>3.0</v>
      </c>
      <c r="Q12" s="23">
        <v>0.0</v>
      </c>
      <c r="R12" s="23">
        <v>0.0</v>
      </c>
      <c r="S12" s="26">
        <f t="shared" si="3"/>
        <v>7</v>
      </c>
      <c r="T12" s="23">
        <v>6.0</v>
      </c>
      <c r="U12" s="23">
        <v>0.0</v>
      </c>
      <c r="V12" s="23">
        <v>1.0</v>
      </c>
      <c r="W12" s="23">
        <v>0.0</v>
      </c>
      <c r="X12" s="26">
        <f t="shared" si="4"/>
        <v>7</v>
      </c>
    </row>
    <row r="13">
      <c r="A13" s="20" t="s">
        <v>34</v>
      </c>
      <c r="B13" s="21">
        <v>10.0</v>
      </c>
      <c r="C13" s="22">
        <v>0.0</v>
      </c>
      <c r="D13" s="22">
        <v>10.0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5">
        <f t="shared" si="1"/>
        <v>10</v>
      </c>
      <c r="K13" s="23">
        <v>10.0</v>
      </c>
      <c r="L13" s="23">
        <v>0.0</v>
      </c>
      <c r="M13" s="25">
        <f t="shared" si="2"/>
        <v>10</v>
      </c>
      <c r="N13" s="23">
        <v>0.0</v>
      </c>
      <c r="O13" s="23">
        <v>7.0</v>
      </c>
      <c r="P13" s="23">
        <v>3.0</v>
      </c>
      <c r="Q13" s="23">
        <v>0.0</v>
      </c>
      <c r="R13" s="23">
        <v>0.0</v>
      </c>
      <c r="S13" s="26">
        <f t="shared" si="3"/>
        <v>10</v>
      </c>
      <c r="T13" s="23">
        <v>7.0</v>
      </c>
      <c r="U13" s="23">
        <v>0.0</v>
      </c>
      <c r="V13" s="23">
        <v>2.0</v>
      </c>
      <c r="W13" s="23">
        <v>1.0</v>
      </c>
      <c r="X13" s="26">
        <f t="shared" si="4"/>
        <v>10</v>
      </c>
    </row>
    <row r="14">
      <c r="A14" s="20" t="s">
        <v>35</v>
      </c>
      <c r="B14" s="27">
        <v>5.0</v>
      </c>
      <c r="C14" s="22">
        <v>0.0</v>
      </c>
      <c r="D14" s="22">
        <v>5.0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5">
        <f t="shared" si="1"/>
        <v>5</v>
      </c>
      <c r="K14" s="23">
        <v>5.0</v>
      </c>
      <c r="L14" s="23">
        <v>0.0</v>
      </c>
      <c r="M14" s="25">
        <f t="shared" si="2"/>
        <v>5</v>
      </c>
      <c r="N14" s="23">
        <v>1.0</v>
      </c>
      <c r="O14" s="23">
        <v>0.0</v>
      </c>
      <c r="P14" s="23">
        <v>2.0</v>
      </c>
      <c r="Q14" s="23">
        <v>2.0</v>
      </c>
      <c r="R14" s="23">
        <v>0.0</v>
      </c>
      <c r="S14" s="26">
        <f t="shared" si="3"/>
        <v>5</v>
      </c>
      <c r="T14" s="23">
        <v>3.0</v>
      </c>
      <c r="U14" s="23">
        <v>1.0</v>
      </c>
      <c r="V14" s="23">
        <v>1.0</v>
      </c>
      <c r="W14" s="23">
        <v>0.0</v>
      </c>
      <c r="X14" s="26">
        <f t="shared" si="4"/>
        <v>5</v>
      </c>
    </row>
    <row r="15">
      <c r="A15" s="20" t="s">
        <v>36</v>
      </c>
      <c r="B15" s="21">
        <v>1.0</v>
      </c>
      <c r="C15" s="22">
        <v>0.0</v>
      </c>
      <c r="D15" s="22">
        <v>1.0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5">
        <f t="shared" si="1"/>
        <v>1</v>
      </c>
      <c r="K15" s="23">
        <v>1.0</v>
      </c>
      <c r="L15" s="23">
        <v>0.0</v>
      </c>
      <c r="M15" s="25">
        <f t="shared" si="2"/>
        <v>1</v>
      </c>
      <c r="N15" s="23">
        <v>0.0</v>
      </c>
      <c r="O15" s="23">
        <v>1.0</v>
      </c>
      <c r="P15" s="23">
        <v>0.0</v>
      </c>
      <c r="Q15" s="23">
        <v>0.0</v>
      </c>
      <c r="R15" s="23">
        <v>0.0</v>
      </c>
      <c r="S15" s="26">
        <f t="shared" si="3"/>
        <v>1</v>
      </c>
      <c r="T15" s="23">
        <v>1.0</v>
      </c>
      <c r="U15" s="23">
        <v>0.0</v>
      </c>
      <c r="V15" s="23">
        <v>0.0</v>
      </c>
      <c r="W15" s="23">
        <v>0.0</v>
      </c>
      <c r="X15" s="26">
        <f t="shared" si="4"/>
        <v>1</v>
      </c>
    </row>
    <row r="16">
      <c r="A16" s="20" t="s">
        <v>37</v>
      </c>
      <c r="B16" s="21">
        <v>0.0</v>
      </c>
      <c r="C16" s="22">
        <v>0.0</v>
      </c>
      <c r="D16" s="22">
        <v>0.0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5">
        <f t="shared" si="1"/>
        <v>0</v>
      </c>
      <c r="K16" s="23">
        <v>0.0</v>
      </c>
      <c r="L16" s="23">
        <v>0.0</v>
      </c>
      <c r="M16" s="25">
        <f t="shared" si="2"/>
        <v>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6">
        <f t="shared" si="3"/>
        <v>0</v>
      </c>
      <c r="T16" s="23">
        <v>0.0</v>
      </c>
      <c r="U16" s="23">
        <v>0.0</v>
      </c>
      <c r="V16" s="23">
        <v>0.0</v>
      </c>
      <c r="W16" s="23">
        <v>0.0</v>
      </c>
      <c r="X16" s="26">
        <f t="shared" si="4"/>
        <v>0</v>
      </c>
    </row>
    <row r="17">
      <c r="A17" s="20" t="s">
        <v>38</v>
      </c>
      <c r="B17" s="21">
        <v>7.0</v>
      </c>
      <c r="C17" s="22">
        <v>1.0</v>
      </c>
      <c r="D17" s="22">
        <v>5.0</v>
      </c>
      <c r="E17" s="22">
        <v>0.0</v>
      </c>
      <c r="F17" s="22">
        <v>1.0</v>
      </c>
      <c r="G17" s="22">
        <v>0.0</v>
      </c>
      <c r="H17" s="22">
        <v>0.0</v>
      </c>
      <c r="I17" s="22">
        <v>0.0</v>
      </c>
      <c r="J17" s="25">
        <f t="shared" si="1"/>
        <v>7</v>
      </c>
      <c r="K17" s="23">
        <v>6.0</v>
      </c>
      <c r="L17" s="23">
        <v>1.0</v>
      </c>
      <c r="M17" s="25">
        <f t="shared" si="2"/>
        <v>7</v>
      </c>
      <c r="N17" s="23">
        <v>0.0</v>
      </c>
      <c r="O17" s="23">
        <v>1.0</v>
      </c>
      <c r="P17" s="23">
        <v>4.0</v>
      </c>
      <c r="Q17" s="23">
        <v>2.0</v>
      </c>
      <c r="R17" s="23">
        <v>0.0</v>
      </c>
      <c r="S17" s="26">
        <f t="shared" si="3"/>
        <v>7</v>
      </c>
      <c r="T17" s="23">
        <v>3.0</v>
      </c>
      <c r="U17" s="23">
        <v>0.0</v>
      </c>
      <c r="V17" s="23">
        <v>4.0</v>
      </c>
      <c r="W17" s="23">
        <v>0.0</v>
      </c>
      <c r="X17" s="26">
        <f t="shared" si="4"/>
        <v>7</v>
      </c>
    </row>
    <row r="18">
      <c r="A18" s="20" t="s">
        <v>39</v>
      </c>
      <c r="B18" s="27">
        <v>30.0</v>
      </c>
      <c r="C18" s="22">
        <v>0.0</v>
      </c>
      <c r="D18" s="22">
        <v>29.0</v>
      </c>
      <c r="E18" s="22">
        <v>1.0</v>
      </c>
      <c r="F18" s="22">
        <v>0.0</v>
      </c>
      <c r="G18" s="22">
        <v>0.0</v>
      </c>
      <c r="H18" s="22">
        <v>0.0</v>
      </c>
      <c r="I18" s="22">
        <v>0.0</v>
      </c>
      <c r="J18" s="25">
        <f t="shared" si="1"/>
        <v>30</v>
      </c>
      <c r="K18" s="23">
        <v>21.0</v>
      </c>
      <c r="L18" s="23">
        <v>9.0</v>
      </c>
      <c r="M18" s="25">
        <f t="shared" si="2"/>
        <v>30</v>
      </c>
      <c r="N18" s="23">
        <v>14.0</v>
      </c>
      <c r="O18" s="23">
        <v>7.0</v>
      </c>
      <c r="P18" s="23">
        <v>5.0</v>
      </c>
      <c r="Q18" s="23">
        <v>0.0</v>
      </c>
      <c r="R18" s="23">
        <v>4.0</v>
      </c>
      <c r="S18" s="26">
        <f t="shared" si="3"/>
        <v>30</v>
      </c>
      <c r="T18" s="23">
        <v>21.0</v>
      </c>
      <c r="U18" s="23">
        <v>1.0</v>
      </c>
      <c r="V18" s="23">
        <v>8.0</v>
      </c>
      <c r="W18" s="23">
        <v>0.0</v>
      </c>
      <c r="X18" s="26">
        <f t="shared" si="4"/>
        <v>30</v>
      </c>
    </row>
    <row r="19">
      <c r="A19" s="20" t="s">
        <v>40</v>
      </c>
      <c r="B19" s="27">
        <v>0.0</v>
      </c>
      <c r="C19" s="22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5">
        <f t="shared" si="1"/>
        <v>0</v>
      </c>
      <c r="K19" s="23">
        <v>0.0</v>
      </c>
      <c r="L19" s="23">
        <v>0.0</v>
      </c>
      <c r="M19" s="25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0</v>
      </c>
      <c r="T19" s="23">
        <v>0.0</v>
      </c>
      <c r="U19" s="23">
        <v>0.0</v>
      </c>
      <c r="V19" s="23">
        <v>0.0</v>
      </c>
      <c r="W19" s="23">
        <v>0.0</v>
      </c>
      <c r="X19" s="26">
        <f t="shared" si="4"/>
        <v>0</v>
      </c>
    </row>
    <row r="20">
      <c r="A20" s="20" t="s">
        <v>41</v>
      </c>
      <c r="B20" s="21">
        <v>0.0</v>
      </c>
      <c r="C20" s="22">
        <v>0.0</v>
      </c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3">
        <v>0.0</v>
      </c>
      <c r="X20" s="26">
        <f t="shared" si="4"/>
        <v>0</v>
      </c>
    </row>
    <row r="21">
      <c r="A21" s="20" t="s">
        <v>42</v>
      </c>
      <c r="B21" s="27">
        <v>1.0</v>
      </c>
      <c r="C21" s="22">
        <v>1.0</v>
      </c>
      <c r="D21" s="22">
        <v>0.0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5">
        <f t="shared" si="1"/>
        <v>1</v>
      </c>
      <c r="K21" s="23">
        <v>1.0</v>
      </c>
      <c r="L21" s="23">
        <v>0.0</v>
      </c>
      <c r="M21" s="25">
        <f t="shared" si="2"/>
        <v>1</v>
      </c>
      <c r="N21" s="23">
        <v>0.0</v>
      </c>
      <c r="O21" s="23">
        <v>1.0</v>
      </c>
      <c r="P21" s="23">
        <v>0.0</v>
      </c>
      <c r="Q21" s="23">
        <v>0.0</v>
      </c>
      <c r="R21" s="23">
        <v>0.0</v>
      </c>
      <c r="S21" s="26">
        <f t="shared" si="3"/>
        <v>1</v>
      </c>
      <c r="T21" s="23">
        <v>1.0</v>
      </c>
      <c r="U21" s="23">
        <v>0.0</v>
      </c>
      <c r="V21" s="23">
        <v>0.0</v>
      </c>
      <c r="W21" s="23">
        <v>0.0</v>
      </c>
      <c r="X21" s="26">
        <f t="shared" si="4"/>
        <v>1</v>
      </c>
    </row>
    <row r="22">
      <c r="A22" s="20" t="s">
        <v>43</v>
      </c>
      <c r="B22" s="27">
        <v>41.0</v>
      </c>
      <c r="C22" s="22">
        <v>4.0</v>
      </c>
      <c r="D22" s="22">
        <v>35.0</v>
      </c>
      <c r="E22" s="22">
        <v>0.0</v>
      </c>
      <c r="F22" s="22">
        <v>0.0</v>
      </c>
      <c r="G22" s="22">
        <v>0.0</v>
      </c>
      <c r="H22" s="22">
        <v>2.0</v>
      </c>
      <c r="I22" s="22">
        <v>0.0</v>
      </c>
      <c r="J22" s="25">
        <f t="shared" si="1"/>
        <v>41</v>
      </c>
      <c r="K22" s="23">
        <v>41.0</v>
      </c>
      <c r="L22" s="23">
        <v>0.0</v>
      </c>
      <c r="M22" s="25">
        <f t="shared" si="2"/>
        <v>41</v>
      </c>
      <c r="N22" s="23">
        <v>21.0</v>
      </c>
      <c r="O22" s="23">
        <v>11.0</v>
      </c>
      <c r="P22" s="23">
        <v>6.0</v>
      </c>
      <c r="Q22" s="23">
        <v>2.0</v>
      </c>
      <c r="R22" s="23">
        <v>1.0</v>
      </c>
      <c r="S22" s="26">
        <f t="shared" si="3"/>
        <v>41</v>
      </c>
      <c r="T22" s="23">
        <v>36.0</v>
      </c>
      <c r="U22" s="23">
        <v>0.0</v>
      </c>
      <c r="V22" s="23">
        <v>3.0</v>
      </c>
      <c r="W22" s="23">
        <v>2.0</v>
      </c>
      <c r="X22" s="26">
        <f t="shared" si="4"/>
        <v>41</v>
      </c>
    </row>
    <row r="23">
      <c r="A23" s="20" t="s">
        <v>44</v>
      </c>
      <c r="B23" s="27">
        <v>8.0</v>
      </c>
      <c r="C23" s="22">
        <v>0.0</v>
      </c>
      <c r="D23" s="22">
        <v>8.0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5">
        <f t="shared" si="1"/>
        <v>8</v>
      </c>
      <c r="K23" s="23">
        <v>6.0</v>
      </c>
      <c r="L23" s="23">
        <v>2.0</v>
      </c>
      <c r="M23" s="25">
        <f t="shared" si="2"/>
        <v>8</v>
      </c>
      <c r="N23" s="23">
        <v>6.0</v>
      </c>
      <c r="O23" s="23">
        <v>0.0</v>
      </c>
      <c r="P23" s="23">
        <v>0.0</v>
      </c>
      <c r="Q23" s="23">
        <v>1.0</v>
      </c>
      <c r="R23" s="23">
        <v>1.0</v>
      </c>
      <c r="S23" s="26">
        <f t="shared" si="3"/>
        <v>8</v>
      </c>
      <c r="T23" s="23">
        <v>7.0</v>
      </c>
      <c r="U23" s="23">
        <v>0.0</v>
      </c>
      <c r="V23" s="23">
        <v>1.0</v>
      </c>
      <c r="W23" s="23">
        <v>0.0</v>
      </c>
      <c r="X23" s="26">
        <f t="shared" si="4"/>
        <v>8</v>
      </c>
    </row>
    <row r="24">
      <c r="A24" s="20" t="s">
        <v>45</v>
      </c>
      <c r="B24" s="27">
        <v>0.0</v>
      </c>
      <c r="C24" s="22">
        <v>0.0</v>
      </c>
      <c r="D24" s="22">
        <v>0.0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5">
        <f t="shared" si="1"/>
        <v>0</v>
      </c>
      <c r="K24" s="23">
        <v>0.0</v>
      </c>
      <c r="L24" s="23">
        <v>0.0</v>
      </c>
      <c r="M24" s="25">
        <f t="shared" si="2"/>
        <v>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6">
        <f t="shared" si="3"/>
        <v>0</v>
      </c>
      <c r="T24" s="23">
        <v>0.0</v>
      </c>
      <c r="U24" s="23">
        <v>0.0</v>
      </c>
      <c r="V24" s="23">
        <v>0.0</v>
      </c>
      <c r="W24" s="23">
        <v>0.0</v>
      </c>
      <c r="X24" s="26">
        <f t="shared" si="4"/>
        <v>0</v>
      </c>
    </row>
    <row r="25">
      <c r="A25" s="20" t="s">
        <v>46</v>
      </c>
      <c r="B25" s="27">
        <v>7.0</v>
      </c>
      <c r="C25" s="22">
        <v>0.0</v>
      </c>
      <c r="D25" s="22">
        <v>5.0</v>
      </c>
      <c r="E25" s="22">
        <v>0.0</v>
      </c>
      <c r="F25" s="22">
        <v>0.0</v>
      </c>
      <c r="G25" s="22">
        <v>0.0</v>
      </c>
      <c r="H25" s="22">
        <v>2.0</v>
      </c>
      <c r="I25" s="22">
        <v>0.0</v>
      </c>
      <c r="J25" s="25">
        <f t="shared" si="1"/>
        <v>7</v>
      </c>
      <c r="K25" s="23">
        <v>6.0</v>
      </c>
      <c r="L25" s="23">
        <v>1.0</v>
      </c>
      <c r="M25" s="25">
        <f t="shared" si="2"/>
        <v>7</v>
      </c>
      <c r="N25" s="23">
        <v>4.0</v>
      </c>
      <c r="O25" s="23">
        <v>3.0</v>
      </c>
      <c r="P25" s="23">
        <v>0.0</v>
      </c>
      <c r="Q25" s="23">
        <v>0.0</v>
      </c>
      <c r="R25" s="23">
        <v>0.0</v>
      </c>
      <c r="S25" s="26">
        <f t="shared" si="3"/>
        <v>7</v>
      </c>
      <c r="T25" s="23">
        <v>7.0</v>
      </c>
      <c r="U25" s="23">
        <v>0.0</v>
      </c>
      <c r="V25" s="23">
        <v>0.0</v>
      </c>
      <c r="W25" s="23">
        <v>0.0</v>
      </c>
      <c r="X25" s="26">
        <f t="shared" si="4"/>
        <v>7</v>
      </c>
    </row>
    <row r="26">
      <c r="A26" s="20" t="s">
        <v>47</v>
      </c>
      <c r="B26" s="27">
        <v>7.0</v>
      </c>
      <c r="C26" s="22">
        <v>1.0</v>
      </c>
      <c r="D26" s="22">
        <v>3.0</v>
      </c>
      <c r="E26" s="22">
        <v>0.0</v>
      </c>
      <c r="F26" s="22">
        <v>0.0</v>
      </c>
      <c r="G26" s="22">
        <v>0.0</v>
      </c>
      <c r="H26" s="22">
        <v>3.0</v>
      </c>
      <c r="I26" s="22">
        <v>0.0</v>
      </c>
      <c r="J26" s="25">
        <f t="shared" si="1"/>
        <v>7</v>
      </c>
      <c r="K26" s="23">
        <v>6.0</v>
      </c>
      <c r="L26" s="23">
        <v>1.0</v>
      </c>
      <c r="M26" s="25">
        <f t="shared" si="2"/>
        <v>7</v>
      </c>
      <c r="N26" s="23">
        <v>1.0</v>
      </c>
      <c r="O26" s="23">
        <v>5.0</v>
      </c>
      <c r="P26" s="23">
        <v>1.0</v>
      </c>
      <c r="Q26" s="23">
        <v>0.0</v>
      </c>
      <c r="R26" s="23">
        <v>0.0</v>
      </c>
      <c r="S26" s="26">
        <f t="shared" si="3"/>
        <v>7</v>
      </c>
      <c r="T26" s="23">
        <v>5.0</v>
      </c>
      <c r="U26" s="23">
        <v>0.0</v>
      </c>
      <c r="V26" s="23">
        <v>2.0</v>
      </c>
      <c r="W26" s="23">
        <v>0.0</v>
      </c>
      <c r="X26" s="26">
        <f t="shared" si="4"/>
        <v>7</v>
      </c>
    </row>
    <row r="27">
      <c r="A27" s="20" t="s">
        <v>48</v>
      </c>
      <c r="B27" s="21">
        <v>0.0</v>
      </c>
      <c r="C27" s="22">
        <v>0.0</v>
      </c>
      <c r="D27" s="22">
        <v>0.0</v>
      </c>
      <c r="E27" s="22">
        <v>0.0</v>
      </c>
      <c r="F27" s="22">
        <v>0.0</v>
      </c>
      <c r="G27" s="22">
        <v>0.0</v>
      </c>
      <c r="H27" s="22">
        <v>0.0</v>
      </c>
      <c r="I27" s="22">
        <v>0.0</v>
      </c>
      <c r="J27" s="25">
        <f t="shared" si="1"/>
        <v>0</v>
      </c>
      <c r="K27" s="23">
        <v>0.0</v>
      </c>
      <c r="L27" s="23">
        <v>0.0</v>
      </c>
      <c r="M27" s="25">
        <f t="shared" si="2"/>
        <v>0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6">
        <f t="shared" si="3"/>
        <v>0</v>
      </c>
      <c r="T27" s="23">
        <v>0.0</v>
      </c>
      <c r="U27" s="23">
        <v>0.0</v>
      </c>
      <c r="V27" s="23">
        <v>0.0</v>
      </c>
      <c r="W27" s="23">
        <v>0.0</v>
      </c>
      <c r="X27" s="26">
        <f t="shared" si="4"/>
        <v>0</v>
      </c>
    </row>
    <row r="28">
      <c r="A28" s="20" t="s">
        <v>49</v>
      </c>
      <c r="B28" s="21">
        <v>2.0</v>
      </c>
      <c r="C28" s="22">
        <v>0.0</v>
      </c>
      <c r="D28" s="22">
        <v>2.0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5">
        <f t="shared" si="1"/>
        <v>2</v>
      </c>
      <c r="K28" s="23">
        <v>2.0</v>
      </c>
      <c r="L28" s="23">
        <v>0.0</v>
      </c>
      <c r="M28" s="25">
        <f t="shared" si="2"/>
        <v>2</v>
      </c>
      <c r="N28" s="23">
        <v>2.0</v>
      </c>
      <c r="O28" s="23">
        <v>0.0</v>
      </c>
      <c r="P28" s="23">
        <v>0.0</v>
      </c>
      <c r="Q28" s="23">
        <v>0.0</v>
      </c>
      <c r="R28" s="23">
        <v>0.0</v>
      </c>
      <c r="S28" s="26">
        <f t="shared" si="3"/>
        <v>2</v>
      </c>
      <c r="T28" s="23">
        <v>1.0</v>
      </c>
      <c r="U28" s="23">
        <v>0.0</v>
      </c>
      <c r="V28" s="23">
        <v>1.0</v>
      </c>
      <c r="W28" s="23">
        <v>0.0</v>
      </c>
      <c r="X28" s="26">
        <f t="shared" si="4"/>
        <v>2</v>
      </c>
    </row>
    <row r="29">
      <c r="A29" s="20" t="s">
        <v>50</v>
      </c>
      <c r="B29" s="21">
        <v>4.0</v>
      </c>
      <c r="C29" s="22">
        <v>0.0</v>
      </c>
      <c r="D29" s="22">
        <v>4.0</v>
      </c>
      <c r="E29" s="22">
        <v>0.0</v>
      </c>
      <c r="F29" s="22">
        <v>0.0</v>
      </c>
      <c r="G29" s="22">
        <v>0.0</v>
      </c>
      <c r="H29" s="22">
        <v>0.0</v>
      </c>
      <c r="I29" s="22">
        <v>0.0</v>
      </c>
      <c r="J29" s="25">
        <f t="shared" si="1"/>
        <v>4</v>
      </c>
      <c r="K29" s="23">
        <v>4.0</v>
      </c>
      <c r="L29" s="23">
        <v>0.0</v>
      </c>
      <c r="M29" s="25">
        <f t="shared" si="2"/>
        <v>4</v>
      </c>
      <c r="N29" s="23">
        <v>0.0</v>
      </c>
      <c r="O29" s="23">
        <v>4.0</v>
      </c>
      <c r="P29" s="23">
        <v>0.0</v>
      </c>
      <c r="Q29" s="23">
        <v>0.0</v>
      </c>
      <c r="R29" s="23">
        <v>0.0</v>
      </c>
      <c r="S29" s="26">
        <f t="shared" si="3"/>
        <v>4</v>
      </c>
      <c r="T29" s="23">
        <v>1.0</v>
      </c>
      <c r="U29" s="23">
        <v>0.0</v>
      </c>
      <c r="V29" s="23">
        <v>3.0</v>
      </c>
      <c r="W29" s="23">
        <v>0.0</v>
      </c>
      <c r="X29" s="26">
        <f t="shared" si="4"/>
        <v>4</v>
      </c>
    </row>
    <row r="30">
      <c r="A30" s="20" t="s">
        <v>51</v>
      </c>
      <c r="B30" s="27">
        <v>0.0</v>
      </c>
      <c r="C30" s="22">
        <v>0.0</v>
      </c>
      <c r="D30" s="22">
        <v>0.0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5">
        <f t="shared" si="1"/>
        <v>0</v>
      </c>
      <c r="K30" s="23">
        <v>0.0</v>
      </c>
      <c r="L30" s="23">
        <v>0.0</v>
      </c>
      <c r="M30" s="25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6">
        <f t="shared" si="3"/>
        <v>0</v>
      </c>
      <c r="T30" s="23">
        <v>0.0</v>
      </c>
      <c r="U30" s="23">
        <v>0.0</v>
      </c>
      <c r="V30" s="23">
        <v>0.0</v>
      </c>
      <c r="W30" s="23">
        <v>0.0</v>
      </c>
      <c r="X30" s="26">
        <f t="shared" si="4"/>
        <v>0</v>
      </c>
    </row>
    <row r="31">
      <c r="A31" s="20" t="s">
        <v>52</v>
      </c>
      <c r="B31" s="27">
        <v>13.0</v>
      </c>
      <c r="C31" s="22">
        <v>0.0</v>
      </c>
      <c r="D31" s="22">
        <v>13.0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5">
        <f t="shared" si="1"/>
        <v>13</v>
      </c>
      <c r="K31" s="23">
        <v>13.0</v>
      </c>
      <c r="L31" s="23">
        <v>0.0</v>
      </c>
      <c r="M31" s="25">
        <f t="shared" si="2"/>
        <v>13</v>
      </c>
      <c r="N31" s="23">
        <v>0.0</v>
      </c>
      <c r="O31" s="23">
        <v>2.0</v>
      </c>
      <c r="P31" s="23">
        <v>11.0</v>
      </c>
      <c r="Q31" s="23">
        <v>0.0</v>
      </c>
      <c r="R31" s="23">
        <v>0.0</v>
      </c>
      <c r="S31" s="26">
        <f t="shared" si="3"/>
        <v>13</v>
      </c>
      <c r="T31" s="23">
        <v>5.0</v>
      </c>
      <c r="U31" s="23">
        <v>0.0</v>
      </c>
      <c r="V31" s="23">
        <v>6.0</v>
      </c>
      <c r="W31" s="23">
        <v>2.0</v>
      </c>
      <c r="X31" s="26">
        <f t="shared" si="4"/>
        <v>13</v>
      </c>
    </row>
    <row r="32">
      <c r="A32" s="20" t="s">
        <v>53</v>
      </c>
      <c r="B32" s="21">
        <v>5.0</v>
      </c>
      <c r="C32" s="22">
        <v>1.0</v>
      </c>
      <c r="D32" s="22">
        <v>2.0</v>
      </c>
      <c r="E32" s="22">
        <v>0.0</v>
      </c>
      <c r="F32" s="22">
        <v>0.0</v>
      </c>
      <c r="G32" s="22">
        <v>0.0</v>
      </c>
      <c r="H32" s="22">
        <v>2.0</v>
      </c>
      <c r="I32" s="22">
        <v>0.0</v>
      </c>
      <c r="J32" s="25">
        <f t="shared" si="1"/>
        <v>5</v>
      </c>
      <c r="K32" s="23">
        <v>5.0</v>
      </c>
      <c r="L32" s="23">
        <v>0.0</v>
      </c>
      <c r="M32" s="25">
        <f t="shared" si="2"/>
        <v>5</v>
      </c>
      <c r="N32" s="23">
        <v>1.0</v>
      </c>
      <c r="O32" s="23">
        <v>1.0</v>
      </c>
      <c r="P32" s="23">
        <v>2.0</v>
      </c>
      <c r="Q32" s="23">
        <v>1.0</v>
      </c>
      <c r="R32" s="23">
        <v>0.0</v>
      </c>
      <c r="S32" s="26">
        <f t="shared" si="3"/>
        <v>5</v>
      </c>
      <c r="T32" s="23">
        <v>5.0</v>
      </c>
      <c r="U32" s="23">
        <v>0.0</v>
      </c>
      <c r="V32" s="23">
        <v>0.0</v>
      </c>
      <c r="W32" s="23">
        <v>0.0</v>
      </c>
      <c r="X32" s="26">
        <f t="shared" si="4"/>
        <v>5</v>
      </c>
    </row>
    <row r="33">
      <c r="A33" s="20" t="s">
        <v>54</v>
      </c>
      <c r="B33" s="21">
        <v>4.0</v>
      </c>
      <c r="C33" s="22">
        <v>0.0</v>
      </c>
      <c r="D33" s="22">
        <v>4.0</v>
      </c>
      <c r="E33" s="22">
        <v>0.0</v>
      </c>
      <c r="F33" s="22">
        <v>0.0</v>
      </c>
      <c r="G33" s="22">
        <v>0.0</v>
      </c>
      <c r="H33" s="22">
        <v>0.0</v>
      </c>
      <c r="I33" s="22">
        <v>0.0</v>
      </c>
      <c r="J33" s="25">
        <f t="shared" si="1"/>
        <v>4</v>
      </c>
      <c r="K33" s="23">
        <v>4.0</v>
      </c>
      <c r="L33" s="23">
        <v>0.0</v>
      </c>
      <c r="M33" s="25">
        <f t="shared" si="2"/>
        <v>4</v>
      </c>
      <c r="N33" s="23">
        <v>0.0</v>
      </c>
      <c r="O33" s="23">
        <v>1.0</v>
      </c>
      <c r="P33" s="23">
        <v>1.0</v>
      </c>
      <c r="Q33" s="23">
        <v>1.0</v>
      </c>
      <c r="R33" s="23">
        <v>1.0</v>
      </c>
      <c r="S33" s="26">
        <f t="shared" si="3"/>
        <v>4</v>
      </c>
      <c r="T33" s="23">
        <v>3.0</v>
      </c>
      <c r="U33" s="23">
        <v>0.0</v>
      </c>
      <c r="V33" s="23">
        <v>1.0</v>
      </c>
      <c r="W33" s="23">
        <v>0.0</v>
      </c>
      <c r="X33" s="26">
        <f t="shared" si="4"/>
        <v>4</v>
      </c>
    </row>
    <row r="34">
      <c r="A34" s="20" t="s">
        <v>55</v>
      </c>
      <c r="B34" s="27">
        <v>6.0</v>
      </c>
      <c r="C34" s="22">
        <v>0.0</v>
      </c>
      <c r="D34" s="22">
        <v>6.0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5">
        <f t="shared" si="1"/>
        <v>6</v>
      </c>
      <c r="K34" s="23">
        <v>6.0</v>
      </c>
      <c r="L34" s="23">
        <v>0.0</v>
      </c>
      <c r="M34" s="25">
        <f t="shared" si="2"/>
        <v>6</v>
      </c>
      <c r="N34" s="23">
        <v>2.0</v>
      </c>
      <c r="O34" s="23">
        <v>0.0</v>
      </c>
      <c r="P34" s="23">
        <v>4.0</v>
      </c>
      <c r="Q34" s="23">
        <v>0.0</v>
      </c>
      <c r="R34" s="23">
        <v>0.0</v>
      </c>
      <c r="S34" s="26">
        <f t="shared" si="3"/>
        <v>6</v>
      </c>
      <c r="T34" s="23">
        <v>5.0</v>
      </c>
      <c r="U34" s="23">
        <v>0.0</v>
      </c>
      <c r="V34" s="23">
        <v>1.0</v>
      </c>
      <c r="W34" s="23">
        <v>0.0</v>
      </c>
      <c r="X34" s="26">
        <f t="shared" si="4"/>
        <v>6</v>
      </c>
    </row>
    <row r="35">
      <c r="A35" s="20" t="s">
        <v>56</v>
      </c>
      <c r="B35" s="27">
        <v>0.0</v>
      </c>
      <c r="C35" s="22">
        <v>0.0</v>
      </c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9.0</v>
      </c>
      <c r="C36" s="22">
        <v>5.0</v>
      </c>
      <c r="D36" s="22">
        <v>4.0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5">
        <f t="shared" si="1"/>
        <v>9</v>
      </c>
      <c r="K36" s="23">
        <v>9.0</v>
      </c>
      <c r="L36" s="23">
        <v>0.0</v>
      </c>
      <c r="M36" s="25">
        <f t="shared" si="2"/>
        <v>9</v>
      </c>
      <c r="N36" s="23">
        <v>0.0</v>
      </c>
      <c r="O36" s="23">
        <v>2.0</v>
      </c>
      <c r="P36" s="23">
        <v>6.0</v>
      </c>
      <c r="Q36" s="23">
        <v>1.0</v>
      </c>
      <c r="R36" s="23">
        <v>0.0</v>
      </c>
      <c r="S36" s="26">
        <f t="shared" si="3"/>
        <v>9</v>
      </c>
      <c r="T36" s="23">
        <v>7.0</v>
      </c>
      <c r="U36" s="23">
        <v>0.0</v>
      </c>
      <c r="V36" s="23">
        <v>1.0</v>
      </c>
      <c r="W36" s="23">
        <v>1.0</v>
      </c>
      <c r="X36" s="26">
        <f t="shared" si="4"/>
        <v>9</v>
      </c>
    </row>
    <row r="37">
      <c r="A37" s="20" t="s">
        <v>58</v>
      </c>
      <c r="B37" s="21">
        <v>0.0</v>
      </c>
      <c r="C37" s="22">
        <v>0.0</v>
      </c>
      <c r="D37" s="22">
        <v>0.0</v>
      </c>
      <c r="E37" s="22">
        <v>0.0</v>
      </c>
      <c r="F37" s="22">
        <v>0.0</v>
      </c>
      <c r="G37" s="22">
        <v>0.0</v>
      </c>
      <c r="H37" s="22">
        <v>0.0</v>
      </c>
      <c r="I37" s="22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2">
        <v>0.0</v>
      </c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5">
        <f t="shared" si="1"/>
        <v>0</v>
      </c>
      <c r="K38" s="23">
        <v>0.0</v>
      </c>
      <c r="L38" s="23">
        <v>0.0</v>
      </c>
      <c r="M38" s="25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6">
        <f t="shared" si="3"/>
        <v>0</v>
      </c>
      <c r="T38" s="23">
        <v>0.0</v>
      </c>
      <c r="U38" s="23">
        <v>0.0</v>
      </c>
      <c r="V38" s="23">
        <v>0.0</v>
      </c>
      <c r="W38" s="23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/>
      <c r="C39" s="22"/>
      <c r="D39" s="22"/>
      <c r="E39" s="22"/>
      <c r="F39" s="22"/>
      <c r="G39" s="22"/>
      <c r="H39" s="22"/>
      <c r="I39" s="22"/>
      <c r="J39" s="25"/>
      <c r="K39" s="23"/>
      <c r="L39" s="23"/>
      <c r="M39" s="25"/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/>
      <c r="U39" s="23"/>
      <c r="V39" s="23"/>
      <c r="W39" s="23"/>
      <c r="X39" s="26"/>
      <c r="Y39" s="30"/>
      <c r="Z39" s="30"/>
    </row>
    <row r="40">
      <c r="A40" s="20" t="s">
        <v>61</v>
      </c>
      <c r="B40" s="28">
        <v>0.0</v>
      </c>
      <c r="C40" s="22">
        <v>0.0</v>
      </c>
      <c r="D40" s="22">
        <v>0.0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5">
        <f t="shared" ref="J40:J65" si="5">sum(C40:I40)</f>
        <v>0</v>
      </c>
      <c r="K40" s="23">
        <v>0.0</v>
      </c>
      <c r="L40" s="23">
        <v>0.0</v>
      </c>
      <c r="M40" s="25">
        <f t="shared" ref="M40:M65" si="6">sum(K40:L40)</f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6">
        <f t="shared" ref="S40:S65" si="7">sum(N40:R40)</f>
        <v>0</v>
      </c>
      <c r="T40" s="23">
        <v>0.0</v>
      </c>
      <c r="U40" s="23">
        <v>0.0</v>
      </c>
      <c r="V40" s="23">
        <v>0.0</v>
      </c>
      <c r="W40" s="23">
        <v>0.0</v>
      </c>
      <c r="X40" s="26">
        <f t="shared" ref="X40:X65" si="8">sum(T40:W40)</f>
        <v>0</v>
      </c>
      <c r="Y40" s="30"/>
      <c r="Z40" s="30"/>
    </row>
    <row r="41">
      <c r="A41" s="20" t="s">
        <v>62</v>
      </c>
      <c r="B41" s="27">
        <v>12.0</v>
      </c>
      <c r="C41" s="22">
        <v>0.0</v>
      </c>
      <c r="D41" s="22">
        <v>12.0</v>
      </c>
      <c r="E41" s="22">
        <v>0.0</v>
      </c>
      <c r="F41" s="22">
        <v>0.0</v>
      </c>
      <c r="G41" s="22">
        <v>0.0</v>
      </c>
      <c r="H41" s="22">
        <v>0.0</v>
      </c>
      <c r="I41" s="22">
        <v>0.0</v>
      </c>
      <c r="J41" s="25">
        <f t="shared" si="5"/>
        <v>12</v>
      </c>
      <c r="K41" s="23">
        <v>12.0</v>
      </c>
      <c r="L41" s="23">
        <v>0.0</v>
      </c>
      <c r="M41" s="25">
        <f t="shared" si="6"/>
        <v>12</v>
      </c>
      <c r="N41" s="23">
        <v>2.0</v>
      </c>
      <c r="O41" s="23">
        <v>1.0</v>
      </c>
      <c r="P41" s="23">
        <v>7.0</v>
      </c>
      <c r="Q41" s="23">
        <v>2.0</v>
      </c>
      <c r="R41" s="23">
        <v>0.0</v>
      </c>
      <c r="S41" s="26">
        <f t="shared" si="7"/>
        <v>12</v>
      </c>
      <c r="T41" s="23">
        <v>6.0</v>
      </c>
      <c r="U41" s="23">
        <v>0.0</v>
      </c>
      <c r="V41" s="23">
        <v>4.0</v>
      </c>
      <c r="W41" s="23">
        <v>2.0</v>
      </c>
      <c r="X41" s="26">
        <f t="shared" si="8"/>
        <v>12</v>
      </c>
    </row>
    <row r="42">
      <c r="A42" s="20" t="s">
        <v>63</v>
      </c>
      <c r="B42" s="27">
        <v>2.0</v>
      </c>
      <c r="C42" s="22">
        <v>0.0</v>
      </c>
      <c r="D42" s="22">
        <v>2.0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5">
        <f t="shared" si="5"/>
        <v>2</v>
      </c>
      <c r="K42" s="23">
        <v>2.0</v>
      </c>
      <c r="L42" s="23">
        <v>0.0</v>
      </c>
      <c r="M42" s="25">
        <f t="shared" si="6"/>
        <v>2</v>
      </c>
      <c r="N42" s="23">
        <v>0.0</v>
      </c>
      <c r="O42" s="23">
        <v>0.0</v>
      </c>
      <c r="P42" s="23">
        <v>2.0</v>
      </c>
      <c r="Q42" s="23">
        <v>0.0</v>
      </c>
      <c r="R42" s="23">
        <v>0.0</v>
      </c>
      <c r="S42" s="26">
        <f t="shared" si="7"/>
        <v>2</v>
      </c>
      <c r="T42" s="23">
        <v>1.0</v>
      </c>
      <c r="U42" s="23">
        <v>0.0</v>
      </c>
      <c r="V42" s="23">
        <v>1.0</v>
      </c>
      <c r="W42" s="23">
        <v>0.0</v>
      </c>
      <c r="X42" s="26">
        <f t="shared" si="8"/>
        <v>2</v>
      </c>
    </row>
    <row r="43">
      <c r="A43" s="20" t="s">
        <v>64</v>
      </c>
      <c r="B43" s="27">
        <v>0.0</v>
      </c>
      <c r="C43" s="22">
        <v>0.0</v>
      </c>
      <c r="D43" s="22">
        <v>0.0</v>
      </c>
      <c r="E43" s="22">
        <v>0.0</v>
      </c>
      <c r="F43" s="22">
        <v>0.0</v>
      </c>
      <c r="G43" s="22">
        <v>0.0</v>
      </c>
      <c r="H43" s="22">
        <v>0.0</v>
      </c>
      <c r="I43" s="22">
        <v>0.0</v>
      </c>
      <c r="J43" s="25">
        <f t="shared" si="5"/>
        <v>0</v>
      </c>
      <c r="K43" s="23">
        <v>0.0</v>
      </c>
      <c r="L43" s="23">
        <v>0.0</v>
      </c>
      <c r="M43" s="25">
        <f t="shared" si="6"/>
        <v>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6">
        <f t="shared" si="7"/>
        <v>0</v>
      </c>
      <c r="T43" s="23">
        <v>0.0</v>
      </c>
      <c r="U43" s="23">
        <v>0.0</v>
      </c>
      <c r="V43" s="23">
        <v>0.0</v>
      </c>
      <c r="W43" s="23">
        <v>0.0</v>
      </c>
      <c r="X43" s="26">
        <f t="shared" si="8"/>
        <v>0</v>
      </c>
    </row>
    <row r="44">
      <c r="A44" s="20" t="s">
        <v>65</v>
      </c>
      <c r="B44" s="27">
        <v>1.0</v>
      </c>
      <c r="C44" s="22">
        <v>0.0</v>
      </c>
      <c r="D44" s="22">
        <v>1.0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5">
        <f t="shared" si="5"/>
        <v>1</v>
      </c>
      <c r="K44" s="23">
        <v>1.0</v>
      </c>
      <c r="L44" s="23">
        <v>0.0</v>
      </c>
      <c r="M44" s="25">
        <f t="shared" si="6"/>
        <v>1</v>
      </c>
      <c r="N44" s="23">
        <v>0.0</v>
      </c>
      <c r="O44" s="23">
        <v>1.0</v>
      </c>
      <c r="P44" s="23">
        <v>0.0</v>
      </c>
      <c r="Q44" s="23">
        <v>0.0</v>
      </c>
      <c r="R44" s="23">
        <v>0.0</v>
      </c>
      <c r="S44" s="26">
        <f t="shared" si="7"/>
        <v>1</v>
      </c>
      <c r="T44" s="23">
        <v>0.0</v>
      </c>
      <c r="U44" s="23">
        <v>0.0</v>
      </c>
      <c r="V44" s="23">
        <v>1.0</v>
      </c>
      <c r="W44" s="23">
        <v>0.0</v>
      </c>
      <c r="X44" s="26">
        <f t="shared" si="8"/>
        <v>1</v>
      </c>
    </row>
    <row r="45">
      <c r="A45" s="20" t="s">
        <v>66</v>
      </c>
      <c r="B45" s="27">
        <v>69.0</v>
      </c>
      <c r="C45" s="22">
        <v>2.0</v>
      </c>
      <c r="D45" s="22">
        <v>57.0</v>
      </c>
      <c r="E45" s="22">
        <v>1.0</v>
      </c>
      <c r="F45" s="22">
        <v>0.0</v>
      </c>
      <c r="G45" s="22">
        <v>0.0</v>
      </c>
      <c r="H45" s="22">
        <v>9.0</v>
      </c>
      <c r="I45" s="22">
        <v>0.0</v>
      </c>
      <c r="J45" s="25">
        <f t="shared" si="5"/>
        <v>69</v>
      </c>
      <c r="K45" s="23">
        <v>45.0</v>
      </c>
      <c r="L45" s="23">
        <v>24.0</v>
      </c>
      <c r="M45" s="25">
        <f t="shared" si="6"/>
        <v>69</v>
      </c>
      <c r="N45" s="23">
        <v>14.0</v>
      </c>
      <c r="O45" s="23">
        <v>50.0</v>
      </c>
      <c r="P45" s="23">
        <v>2.0</v>
      </c>
      <c r="Q45" s="23">
        <v>2.0</v>
      </c>
      <c r="R45" s="23">
        <v>1.0</v>
      </c>
      <c r="S45" s="26">
        <f t="shared" si="7"/>
        <v>69</v>
      </c>
      <c r="T45" s="23">
        <v>48.0</v>
      </c>
      <c r="U45" s="23">
        <v>1.0</v>
      </c>
      <c r="V45" s="23">
        <v>15.0</v>
      </c>
      <c r="W45" s="23">
        <v>5.0</v>
      </c>
      <c r="X45" s="26">
        <f t="shared" si="8"/>
        <v>69</v>
      </c>
    </row>
    <row r="46">
      <c r="A46" s="20" t="s">
        <v>67</v>
      </c>
      <c r="B46" s="27">
        <v>1.0</v>
      </c>
      <c r="C46" s="22">
        <v>0.0</v>
      </c>
      <c r="D46" s="22">
        <v>1.0</v>
      </c>
      <c r="E46" s="22">
        <v>0.0</v>
      </c>
      <c r="F46" s="22">
        <v>0.0</v>
      </c>
      <c r="G46" s="22">
        <v>0.0</v>
      </c>
      <c r="H46" s="22">
        <v>0.0</v>
      </c>
      <c r="I46" s="22">
        <v>0.0</v>
      </c>
      <c r="J46" s="25">
        <f t="shared" si="5"/>
        <v>1</v>
      </c>
      <c r="K46" s="23">
        <v>0.0</v>
      </c>
      <c r="L46" s="23">
        <v>1.0</v>
      </c>
      <c r="M46" s="25">
        <f t="shared" si="6"/>
        <v>1</v>
      </c>
      <c r="N46" s="23">
        <v>0.0</v>
      </c>
      <c r="O46" s="23">
        <v>1.0</v>
      </c>
      <c r="P46" s="23">
        <v>0.0</v>
      </c>
      <c r="Q46" s="23">
        <v>0.0</v>
      </c>
      <c r="R46" s="23">
        <v>0.0</v>
      </c>
      <c r="S46" s="26">
        <f t="shared" si="7"/>
        <v>1</v>
      </c>
      <c r="T46" s="23">
        <v>1.0</v>
      </c>
      <c r="U46" s="23">
        <v>0.0</v>
      </c>
      <c r="V46" s="23">
        <v>0.0</v>
      </c>
      <c r="W46" s="23">
        <v>0.0</v>
      </c>
      <c r="X46" s="26">
        <f t="shared" si="8"/>
        <v>1</v>
      </c>
    </row>
    <row r="47">
      <c r="A47" s="20" t="s">
        <v>68</v>
      </c>
      <c r="B47" s="27">
        <v>11.0</v>
      </c>
      <c r="C47" s="22">
        <v>0.0</v>
      </c>
      <c r="D47" s="22">
        <v>9.0</v>
      </c>
      <c r="E47" s="22">
        <v>0.0</v>
      </c>
      <c r="F47" s="22">
        <v>0.0</v>
      </c>
      <c r="G47" s="22">
        <v>0.0</v>
      </c>
      <c r="H47" s="22">
        <v>2.0</v>
      </c>
      <c r="I47" s="22">
        <v>0.0</v>
      </c>
      <c r="J47" s="25">
        <f t="shared" si="5"/>
        <v>11</v>
      </c>
      <c r="K47" s="23">
        <v>6.0</v>
      </c>
      <c r="L47" s="23">
        <v>5.0</v>
      </c>
      <c r="M47" s="25">
        <f t="shared" si="6"/>
        <v>11</v>
      </c>
      <c r="N47" s="23">
        <v>10.0</v>
      </c>
      <c r="O47" s="23">
        <v>0.0</v>
      </c>
      <c r="P47" s="23">
        <v>0.0</v>
      </c>
      <c r="Q47" s="23">
        <v>0.0</v>
      </c>
      <c r="R47" s="23">
        <v>1.0</v>
      </c>
      <c r="S47" s="26">
        <f t="shared" si="7"/>
        <v>11</v>
      </c>
      <c r="T47" s="23">
        <v>9.0</v>
      </c>
      <c r="U47" s="23">
        <v>0.0</v>
      </c>
      <c r="V47" s="23">
        <v>2.0</v>
      </c>
      <c r="W47" s="23">
        <v>0.0</v>
      </c>
      <c r="X47" s="26">
        <f t="shared" si="8"/>
        <v>11</v>
      </c>
    </row>
    <row r="48">
      <c r="A48" s="20" t="s">
        <v>69</v>
      </c>
      <c r="B48" s="21">
        <v>0.0</v>
      </c>
      <c r="C48" s="22">
        <v>0.0</v>
      </c>
      <c r="D48" s="22">
        <v>0.0</v>
      </c>
      <c r="E48" s="22">
        <v>0.0</v>
      </c>
      <c r="F48" s="22">
        <v>0.0</v>
      </c>
      <c r="G48" s="22">
        <v>0.0</v>
      </c>
      <c r="H48" s="22">
        <v>0.0</v>
      </c>
      <c r="I48" s="22">
        <v>0.0</v>
      </c>
      <c r="J48" s="25">
        <f t="shared" si="5"/>
        <v>0</v>
      </c>
      <c r="K48" s="23">
        <v>0.0</v>
      </c>
      <c r="L48" s="23">
        <v>0.0</v>
      </c>
      <c r="M48" s="25">
        <f t="shared" si="6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6">
        <f t="shared" si="7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8"/>
        <v>0</v>
      </c>
    </row>
    <row r="49">
      <c r="A49" s="20" t="s">
        <v>70</v>
      </c>
      <c r="B49" s="21">
        <v>5.0</v>
      </c>
      <c r="C49" s="22">
        <v>1.0</v>
      </c>
      <c r="D49" s="22">
        <v>4.0</v>
      </c>
      <c r="E49" s="22">
        <v>0.0</v>
      </c>
      <c r="F49" s="22">
        <v>0.0</v>
      </c>
      <c r="G49" s="22">
        <v>0.0</v>
      </c>
      <c r="H49" s="22">
        <v>0.0</v>
      </c>
      <c r="I49" s="22">
        <v>0.0</v>
      </c>
      <c r="J49" s="25">
        <f t="shared" si="5"/>
        <v>5</v>
      </c>
      <c r="K49" s="23">
        <v>5.0</v>
      </c>
      <c r="L49" s="23">
        <v>0.0</v>
      </c>
      <c r="M49" s="25">
        <f t="shared" si="6"/>
        <v>5</v>
      </c>
      <c r="N49" s="23">
        <v>3.0</v>
      </c>
      <c r="O49" s="23">
        <v>2.0</v>
      </c>
      <c r="P49" s="23">
        <v>0.0</v>
      </c>
      <c r="Q49" s="23">
        <v>0.0</v>
      </c>
      <c r="R49" s="23">
        <v>0.0</v>
      </c>
      <c r="S49" s="26">
        <f t="shared" si="7"/>
        <v>5</v>
      </c>
      <c r="T49" s="23">
        <v>2.0</v>
      </c>
      <c r="U49" s="23">
        <v>0.0</v>
      </c>
      <c r="V49" s="23">
        <v>0.0</v>
      </c>
      <c r="W49" s="23">
        <v>3.0</v>
      </c>
      <c r="X49" s="26">
        <f t="shared" si="8"/>
        <v>5</v>
      </c>
    </row>
    <row r="50">
      <c r="A50" s="20" t="s">
        <v>71</v>
      </c>
      <c r="B50" s="21">
        <v>79.0</v>
      </c>
      <c r="C50" s="22">
        <v>18.0</v>
      </c>
      <c r="D50" s="22">
        <v>55.0</v>
      </c>
      <c r="E50" s="22">
        <v>0.0</v>
      </c>
      <c r="F50" s="22">
        <v>0.0</v>
      </c>
      <c r="G50" s="22">
        <v>0.0</v>
      </c>
      <c r="H50" s="22">
        <v>6.0</v>
      </c>
      <c r="I50" s="22">
        <v>0.0</v>
      </c>
      <c r="J50" s="25">
        <f t="shared" si="5"/>
        <v>79</v>
      </c>
      <c r="K50" s="23">
        <v>70.0</v>
      </c>
      <c r="L50" s="23">
        <v>9.0</v>
      </c>
      <c r="M50" s="25">
        <f t="shared" si="6"/>
        <v>79</v>
      </c>
      <c r="N50" s="23">
        <v>18.0</v>
      </c>
      <c r="O50" s="23">
        <v>60.0</v>
      </c>
      <c r="P50" s="23">
        <v>0.0</v>
      </c>
      <c r="Q50" s="23">
        <v>1.0</v>
      </c>
      <c r="R50" s="23">
        <v>0.0</v>
      </c>
      <c r="S50" s="26">
        <f t="shared" si="7"/>
        <v>79</v>
      </c>
      <c r="T50" s="23">
        <v>65.0</v>
      </c>
      <c r="U50" s="23">
        <v>0.0</v>
      </c>
      <c r="V50" s="23">
        <v>12.0</v>
      </c>
      <c r="W50" s="23">
        <v>2.0</v>
      </c>
      <c r="X50" s="26">
        <f t="shared" si="8"/>
        <v>79</v>
      </c>
    </row>
    <row r="51">
      <c r="A51" s="20" t="s">
        <v>72</v>
      </c>
      <c r="B51" s="21">
        <v>1.0</v>
      </c>
      <c r="C51" s="22">
        <v>1.0</v>
      </c>
      <c r="D51" s="22">
        <v>0.0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5">
        <f t="shared" si="5"/>
        <v>1</v>
      </c>
      <c r="K51" s="23">
        <v>0.0</v>
      </c>
      <c r="L51" s="23">
        <v>1.0</v>
      </c>
      <c r="M51" s="25">
        <f t="shared" si="6"/>
        <v>1</v>
      </c>
      <c r="N51" s="23">
        <v>0.0</v>
      </c>
      <c r="O51" s="23">
        <v>1.0</v>
      </c>
      <c r="P51" s="23">
        <v>0.0</v>
      </c>
      <c r="Q51" s="23">
        <v>0.0</v>
      </c>
      <c r="R51" s="23">
        <v>0.0</v>
      </c>
      <c r="S51" s="26">
        <f t="shared" si="7"/>
        <v>1</v>
      </c>
      <c r="T51" s="23">
        <v>0.0</v>
      </c>
      <c r="U51" s="23">
        <v>0.0</v>
      </c>
      <c r="V51" s="23">
        <v>1.0</v>
      </c>
      <c r="W51" s="23">
        <v>0.0</v>
      </c>
      <c r="X51" s="26">
        <f t="shared" si="8"/>
        <v>1</v>
      </c>
    </row>
    <row r="52">
      <c r="A52" s="20" t="s">
        <v>73</v>
      </c>
      <c r="B52" s="31">
        <v>0.0</v>
      </c>
      <c r="C52" s="22">
        <v>0.0</v>
      </c>
      <c r="D52" s="22">
        <v>0.0</v>
      </c>
      <c r="E52" s="22">
        <v>0.0</v>
      </c>
      <c r="F52" s="22">
        <v>0.0</v>
      </c>
      <c r="G52" s="22">
        <v>0.0</v>
      </c>
      <c r="H52" s="22">
        <v>0.0</v>
      </c>
      <c r="I52" s="22">
        <v>0.0</v>
      </c>
      <c r="J52" s="25">
        <f t="shared" si="5"/>
        <v>0</v>
      </c>
      <c r="K52" s="23">
        <v>0.0</v>
      </c>
      <c r="L52" s="23">
        <v>0.0</v>
      </c>
      <c r="M52" s="25">
        <f t="shared" si="6"/>
        <v>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6">
        <f t="shared" si="7"/>
        <v>0</v>
      </c>
      <c r="T52" s="23">
        <v>0.0</v>
      </c>
      <c r="U52" s="23">
        <v>0.0</v>
      </c>
      <c r="V52" s="23">
        <v>0.0</v>
      </c>
      <c r="W52" s="23">
        <v>0.0</v>
      </c>
      <c r="X52" s="26">
        <f t="shared" si="8"/>
        <v>0</v>
      </c>
    </row>
    <row r="53">
      <c r="A53" s="20" t="s">
        <v>74</v>
      </c>
      <c r="B53" s="31">
        <v>7.0</v>
      </c>
      <c r="C53" s="22">
        <v>0.0</v>
      </c>
      <c r="D53" s="22">
        <v>7.0</v>
      </c>
      <c r="E53" s="22">
        <v>0.0</v>
      </c>
      <c r="F53" s="22">
        <v>0.0</v>
      </c>
      <c r="G53" s="22">
        <v>0.0</v>
      </c>
      <c r="H53" s="22">
        <v>0.0</v>
      </c>
      <c r="I53" s="22">
        <v>0.0</v>
      </c>
      <c r="J53" s="25">
        <f t="shared" si="5"/>
        <v>7</v>
      </c>
      <c r="K53" s="23">
        <v>7.0</v>
      </c>
      <c r="L53" s="23">
        <v>0.0</v>
      </c>
      <c r="M53" s="25">
        <f t="shared" si="6"/>
        <v>7</v>
      </c>
      <c r="N53" s="23">
        <v>4.0</v>
      </c>
      <c r="O53" s="23">
        <v>2.0</v>
      </c>
      <c r="P53" s="23">
        <v>0.0</v>
      </c>
      <c r="Q53" s="23">
        <v>0.0</v>
      </c>
      <c r="R53" s="23">
        <v>1.0</v>
      </c>
      <c r="S53" s="26">
        <f t="shared" si="7"/>
        <v>7</v>
      </c>
      <c r="T53" s="23">
        <v>1.0</v>
      </c>
      <c r="U53" s="23">
        <v>0.0</v>
      </c>
      <c r="V53" s="23">
        <v>6.0</v>
      </c>
      <c r="W53" s="23">
        <v>0.0</v>
      </c>
      <c r="X53" s="26">
        <f t="shared" si="8"/>
        <v>7</v>
      </c>
    </row>
    <row r="54">
      <c r="A54" s="20" t="s">
        <v>75</v>
      </c>
      <c r="B54" s="31">
        <v>6.0</v>
      </c>
      <c r="C54" s="22">
        <v>0.0</v>
      </c>
      <c r="D54" s="22">
        <v>6.0</v>
      </c>
      <c r="E54" s="22">
        <v>0.0</v>
      </c>
      <c r="F54" s="22">
        <v>0.0</v>
      </c>
      <c r="G54" s="22"/>
      <c r="H54" s="22">
        <v>0.0</v>
      </c>
      <c r="I54" s="22">
        <v>0.0</v>
      </c>
      <c r="J54" s="25">
        <f t="shared" si="5"/>
        <v>6</v>
      </c>
      <c r="K54" s="23">
        <v>6.0</v>
      </c>
      <c r="L54" s="23">
        <v>0.0</v>
      </c>
      <c r="M54" s="25">
        <f t="shared" si="6"/>
        <v>6</v>
      </c>
      <c r="N54" s="23">
        <v>3.0</v>
      </c>
      <c r="O54" s="23">
        <v>0.0</v>
      </c>
      <c r="P54" s="23">
        <v>0.0</v>
      </c>
      <c r="Q54" s="23">
        <v>0.0</v>
      </c>
      <c r="R54" s="23">
        <v>3.0</v>
      </c>
      <c r="S54" s="26">
        <f t="shared" si="7"/>
        <v>6</v>
      </c>
      <c r="T54" s="23">
        <v>4.0</v>
      </c>
      <c r="U54" s="23">
        <v>0.0</v>
      </c>
      <c r="V54" s="23">
        <v>2.0</v>
      </c>
      <c r="W54" s="23">
        <v>0.0</v>
      </c>
      <c r="X54" s="26">
        <f t="shared" si="8"/>
        <v>6</v>
      </c>
    </row>
    <row r="55">
      <c r="A55" s="20" t="s">
        <v>76</v>
      </c>
      <c r="B55" s="31">
        <v>0.0</v>
      </c>
      <c r="C55" s="22">
        <v>0.0</v>
      </c>
      <c r="D55" s="22">
        <v>0.0</v>
      </c>
      <c r="E55" s="22">
        <v>0.0</v>
      </c>
      <c r="F55" s="22">
        <v>0.0</v>
      </c>
      <c r="G55" s="22">
        <v>0.0</v>
      </c>
      <c r="H55" s="22">
        <v>0.0</v>
      </c>
      <c r="I55" s="22">
        <v>0.0</v>
      </c>
      <c r="J55" s="25">
        <f t="shared" si="5"/>
        <v>0</v>
      </c>
      <c r="K55" s="23">
        <v>0.0</v>
      </c>
      <c r="L55" s="23">
        <v>0.0</v>
      </c>
      <c r="M55" s="25">
        <f t="shared" si="6"/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6">
        <f t="shared" si="7"/>
        <v>0</v>
      </c>
      <c r="T55" s="23">
        <v>0.0</v>
      </c>
      <c r="U55" s="23">
        <v>0.0</v>
      </c>
      <c r="V55" s="23">
        <v>0.0</v>
      </c>
      <c r="W55" s="23">
        <v>0.0</v>
      </c>
      <c r="X55" s="26">
        <f t="shared" si="8"/>
        <v>0</v>
      </c>
    </row>
    <row r="56">
      <c r="A56" s="20" t="s">
        <v>77</v>
      </c>
      <c r="B56" s="31">
        <v>7.0</v>
      </c>
      <c r="C56" s="22">
        <v>0.0</v>
      </c>
      <c r="D56" s="22">
        <v>6.0</v>
      </c>
      <c r="E56" s="22">
        <v>0.0</v>
      </c>
      <c r="F56" s="22">
        <v>0.0</v>
      </c>
      <c r="G56" s="22">
        <v>0.0</v>
      </c>
      <c r="H56" s="22">
        <v>1.0</v>
      </c>
      <c r="I56" s="22">
        <v>0.0</v>
      </c>
      <c r="J56" s="25">
        <f t="shared" si="5"/>
        <v>7</v>
      </c>
      <c r="K56" s="23">
        <v>2.0</v>
      </c>
      <c r="L56" s="23">
        <v>5.0</v>
      </c>
      <c r="M56" s="25">
        <f t="shared" si="6"/>
        <v>7</v>
      </c>
      <c r="N56" s="23">
        <v>1.0</v>
      </c>
      <c r="O56" s="23">
        <v>6.0</v>
      </c>
      <c r="P56" s="23">
        <v>0.0</v>
      </c>
      <c r="Q56" s="23">
        <v>0.0</v>
      </c>
      <c r="R56" s="23">
        <v>0.0</v>
      </c>
      <c r="S56" s="26">
        <f t="shared" si="7"/>
        <v>7</v>
      </c>
      <c r="T56" s="23">
        <v>5.0</v>
      </c>
      <c r="U56" s="23">
        <v>0.0</v>
      </c>
      <c r="V56" s="23">
        <v>2.0</v>
      </c>
      <c r="W56" s="23">
        <v>0.0</v>
      </c>
      <c r="X56" s="26">
        <f t="shared" si="8"/>
        <v>7</v>
      </c>
    </row>
    <row r="57">
      <c r="A57" s="20" t="s">
        <v>78</v>
      </c>
      <c r="B57" s="34">
        <v>0.0</v>
      </c>
      <c r="C57" s="22">
        <v>0.0</v>
      </c>
      <c r="D57" s="22">
        <v>0.0</v>
      </c>
      <c r="E57" s="22">
        <v>0.0</v>
      </c>
      <c r="F57" s="22">
        <v>0.0</v>
      </c>
      <c r="G57" s="22">
        <v>0.0</v>
      </c>
      <c r="H57" s="22">
        <v>0.0</v>
      </c>
      <c r="I57" s="22">
        <v>0.0</v>
      </c>
      <c r="J57" s="25">
        <f t="shared" si="5"/>
        <v>0</v>
      </c>
      <c r="K57" s="23">
        <v>0.0</v>
      </c>
      <c r="L57" s="23">
        <v>0.0</v>
      </c>
      <c r="M57" s="25">
        <f t="shared" si="6"/>
        <v>0</v>
      </c>
      <c r="N57" s="23">
        <v>0.0</v>
      </c>
      <c r="O57" s="23">
        <v>0.0</v>
      </c>
      <c r="P57" s="23">
        <v>0.0</v>
      </c>
      <c r="Q57" s="23">
        <v>0.0</v>
      </c>
      <c r="R57" s="23">
        <v>0.0</v>
      </c>
      <c r="S57" s="26">
        <f t="shared" si="7"/>
        <v>0</v>
      </c>
      <c r="T57" s="23">
        <v>0.0</v>
      </c>
      <c r="U57" s="23">
        <v>0.0</v>
      </c>
      <c r="V57" s="23">
        <v>0.0</v>
      </c>
      <c r="W57" s="23">
        <v>0.0</v>
      </c>
      <c r="X57" s="26">
        <f t="shared" si="8"/>
        <v>0</v>
      </c>
    </row>
    <row r="58">
      <c r="A58" s="20" t="s">
        <v>79</v>
      </c>
      <c r="B58" s="31">
        <v>0.0</v>
      </c>
      <c r="C58" s="22">
        <v>0.0</v>
      </c>
      <c r="D58" s="22">
        <v>0.0</v>
      </c>
      <c r="E58" s="22">
        <v>0.0</v>
      </c>
      <c r="F58" s="22">
        <v>0.0</v>
      </c>
      <c r="G58" s="22">
        <v>0.0</v>
      </c>
      <c r="H58" s="22">
        <v>0.0</v>
      </c>
      <c r="I58" s="22">
        <v>0.0</v>
      </c>
      <c r="J58" s="25">
        <f t="shared" si="5"/>
        <v>0</v>
      </c>
      <c r="K58" s="23">
        <v>0.0</v>
      </c>
      <c r="L58" s="23">
        <v>0.0</v>
      </c>
      <c r="M58" s="25">
        <f t="shared" si="6"/>
        <v>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6">
        <f t="shared" si="7"/>
        <v>0</v>
      </c>
      <c r="T58" s="23">
        <v>0.0</v>
      </c>
      <c r="U58" s="23">
        <v>0.0</v>
      </c>
      <c r="V58" s="23">
        <v>0.0</v>
      </c>
      <c r="W58" s="23">
        <v>0.0</v>
      </c>
      <c r="X58" s="26">
        <f t="shared" si="8"/>
        <v>0</v>
      </c>
    </row>
    <row r="59">
      <c r="A59" s="20" t="s">
        <v>80</v>
      </c>
      <c r="B59" s="31">
        <v>7.0</v>
      </c>
      <c r="C59" s="22">
        <v>1.0</v>
      </c>
      <c r="D59" s="22">
        <v>6.0</v>
      </c>
      <c r="E59" s="22">
        <v>0.0</v>
      </c>
      <c r="F59" s="22">
        <v>0.0</v>
      </c>
      <c r="G59" s="22">
        <v>0.0</v>
      </c>
      <c r="H59" s="22">
        <v>0.0</v>
      </c>
      <c r="I59" s="22">
        <v>0.0</v>
      </c>
      <c r="J59" s="25">
        <f t="shared" si="5"/>
        <v>7</v>
      </c>
      <c r="K59" s="23">
        <v>4.0</v>
      </c>
      <c r="L59" s="23">
        <v>3.0</v>
      </c>
      <c r="M59" s="25">
        <f t="shared" si="6"/>
        <v>7</v>
      </c>
      <c r="N59" s="23">
        <v>3.0</v>
      </c>
      <c r="O59" s="23">
        <v>1.0</v>
      </c>
      <c r="P59" s="23">
        <v>2.0</v>
      </c>
      <c r="Q59" s="23">
        <v>1.0</v>
      </c>
      <c r="R59" s="23">
        <v>0.0</v>
      </c>
      <c r="S59" s="26">
        <f t="shared" si="7"/>
        <v>7</v>
      </c>
      <c r="T59" s="23">
        <v>5.0</v>
      </c>
      <c r="U59" s="23">
        <v>0.0</v>
      </c>
      <c r="V59" s="23">
        <v>2.0</v>
      </c>
      <c r="W59" s="23">
        <v>0.0</v>
      </c>
      <c r="X59" s="26">
        <f t="shared" si="8"/>
        <v>7</v>
      </c>
    </row>
    <row r="60">
      <c r="A60" s="20" t="s">
        <v>81</v>
      </c>
      <c r="B60" s="31">
        <v>0.0</v>
      </c>
      <c r="C60" s="22">
        <v>0.0</v>
      </c>
      <c r="D60" s="22">
        <v>0.0</v>
      </c>
      <c r="E60" s="22">
        <v>0.0</v>
      </c>
      <c r="F60" s="22">
        <v>0.0</v>
      </c>
      <c r="G60" s="22">
        <v>0.0</v>
      </c>
      <c r="H60" s="22">
        <v>0.0</v>
      </c>
      <c r="I60" s="22">
        <v>0.0</v>
      </c>
      <c r="J60" s="25">
        <f t="shared" si="5"/>
        <v>0</v>
      </c>
      <c r="K60" s="23">
        <v>0.0</v>
      </c>
      <c r="L60" s="23">
        <v>0.0</v>
      </c>
      <c r="M60" s="25">
        <f t="shared" si="6"/>
        <v>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6">
        <f t="shared" si="7"/>
        <v>0</v>
      </c>
      <c r="T60" s="23">
        <v>0.0</v>
      </c>
      <c r="U60" s="23">
        <v>0.0</v>
      </c>
      <c r="V60" s="23">
        <v>0.0</v>
      </c>
      <c r="W60" s="23">
        <v>0.0</v>
      </c>
      <c r="X60" s="26">
        <f t="shared" si="8"/>
        <v>0</v>
      </c>
    </row>
    <row r="61">
      <c r="A61" s="20" t="s">
        <v>82</v>
      </c>
      <c r="B61" s="31">
        <v>4.0</v>
      </c>
      <c r="C61" s="22">
        <v>1.0</v>
      </c>
      <c r="D61" s="22">
        <v>2.0</v>
      </c>
      <c r="E61" s="22">
        <v>0.0</v>
      </c>
      <c r="F61" s="22">
        <v>0.0</v>
      </c>
      <c r="G61" s="22">
        <v>0.0</v>
      </c>
      <c r="H61" s="22">
        <v>1.0</v>
      </c>
      <c r="I61" s="22">
        <v>0.0</v>
      </c>
      <c r="J61" s="25">
        <f t="shared" si="5"/>
        <v>4</v>
      </c>
      <c r="K61" s="23">
        <v>3.0</v>
      </c>
      <c r="L61" s="23">
        <v>1.0</v>
      </c>
      <c r="M61" s="25">
        <f t="shared" si="6"/>
        <v>4</v>
      </c>
      <c r="N61" s="23">
        <v>0.0</v>
      </c>
      <c r="O61" s="23">
        <v>4.0</v>
      </c>
      <c r="P61" s="23">
        <v>0.0</v>
      </c>
      <c r="Q61" s="23">
        <v>0.0</v>
      </c>
      <c r="R61" s="23">
        <v>0.0</v>
      </c>
      <c r="S61" s="26">
        <f t="shared" si="7"/>
        <v>4</v>
      </c>
      <c r="T61" s="23">
        <v>3.0</v>
      </c>
      <c r="U61" s="23">
        <v>0.0</v>
      </c>
      <c r="V61" s="23">
        <v>0.0</v>
      </c>
      <c r="W61" s="23">
        <v>1.0</v>
      </c>
      <c r="X61" s="26">
        <f t="shared" si="8"/>
        <v>4</v>
      </c>
    </row>
    <row r="62">
      <c r="A62" s="20" t="s">
        <v>83</v>
      </c>
      <c r="B62" s="31">
        <v>1.0</v>
      </c>
      <c r="C62" s="22">
        <v>0.0</v>
      </c>
      <c r="D62" s="22">
        <v>1.0</v>
      </c>
      <c r="E62" s="22">
        <v>0.0</v>
      </c>
      <c r="F62" s="22">
        <v>0.0</v>
      </c>
      <c r="G62" s="22">
        <v>0.0</v>
      </c>
      <c r="H62" s="22">
        <v>0.0</v>
      </c>
      <c r="I62" s="22">
        <v>0.0</v>
      </c>
      <c r="J62" s="25">
        <f t="shared" si="5"/>
        <v>1</v>
      </c>
      <c r="K62" s="23">
        <v>1.0</v>
      </c>
      <c r="L62" s="23">
        <v>0.0</v>
      </c>
      <c r="M62" s="25">
        <f t="shared" si="6"/>
        <v>1</v>
      </c>
      <c r="N62" s="23">
        <v>0.0</v>
      </c>
      <c r="O62" s="23">
        <v>1.0</v>
      </c>
      <c r="P62" s="23">
        <v>0.0</v>
      </c>
      <c r="Q62" s="23">
        <v>0.0</v>
      </c>
      <c r="R62" s="23">
        <v>0.0</v>
      </c>
      <c r="S62" s="26">
        <f t="shared" si="7"/>
        <v>1</v>
      </c>
      <c r="T62" s="23">
        <v>0.0</v>
      </c>
      <c r="U62" s="23">
        <v>0.0</v>
      </c>
      <c r="V62" s="23">
        <v>1.0</v>
      </c>
      <c r="W62" s="23">
        <v>0.0</v>
      </c>
      <c r="X62" s="26">
        <f t="shared" si="8"/>
        <v>1</v>
      </c>
    </row>
    <row r="63">
      <c r="A63" s="20" t="s">
        <v>84</v>
      </c>
      <c r="B63" s="31">
        <v>7.0</v>
      </c>
      <c r="C63" s="22">
        <v>0.0</v>
      </c>
      <c r="D63" s="22">
        <v>7.0</v>
      </c>
      <c r="E63" s="22">
        <v>0.0</v>
      </c>
      <c r="F63" s="22">
        <v>0.0</v>
      </c>
      <c r="G63" s="22">
        <v>0.0</v>
      </c>
      <c r="H63" s="22">
        <v>0.0</v>
      </c>
      <c r="I63" s="22">
        <v>0.0</v>
      </c>
      <c r="J63" s="25">
        <f t="shared" si="5"/>
        <v>7</v>
      </c>
      <c r="K63" s="23">
        <v>7.0</v>
      </c>
      <c r="L63" s="23">
        <v>0.0</v>
      </c>
      <c r="M63" s="25">
        <f t="shared" si="6"/>
        <v>7</v>
      </c>
      <c r="N63" s="23">
        <v>5.0</v>
      </c>
      <c r="O63" s="23">
        <v>0.0</v>
      </c>
      <c r="P63" s="23">
        <v>1.0</v>
      </c>
      <c r="Q63" s="23">
        <v>0.0</v>
      </c>
      <c r="R63" s="23">
        <v>1.0</v>
      </c>
      <c r="S63" s="26">
        <f t="shared" si="7"/>
        <v>7</v>
      </c>
      <c r="T63" s="23">
        <v>7.0</v>
      </c>
      <c r="U63" s="23">
        <v>0.0</v>
      </c>
      <c r="V63" s="23">
        <v>0.0</v>
      </c>
      <c r="W63" s="23">
        <v>0.0</v>
      </c>
      <c r="X63" s="26">
        <f t="shared" si="8"/>
        <v>7</v>
      </c>
    </row>
    <row r="64">
      <c r="A64" s="20" t="s">
        <v>85</v>
      </c>
      <c r="B64" s="31">
        <v>0.0</v>
      </c>
      <c r="C64" s="22">
        <v>0.0</v>
      </c>
      <c r="D64" s="22">
        <v>0.0</v>
      </c>
      <c r="E64" s="22">
        <v>0.0</v>
      </c>
      <c r="F64" s="22">
        <v>0.0</v>
      </c>
      <c r="G64" s="22">
        <v>0.0</v>
      </c>
      <c r="H64" s="22">
        <v>0.0</v>
      </c>
      <c r="I64" s="22">
        <v>0.0</v>
      </c>
      <c r="J64" s="25">
        <f t="shared" si="5"/>
        <v>0</v>
      </c>
      <c r="K64" s="23">
        <v>0.0</v>
      </c>
      <c r="L64" s="23">
        <v>0.0</v>
      </c>
      <c r="M64" s="25">
        <f t="shared" si="6"/>
        <v>0</v>
      </c>
      <c r="N64" s="23">
        <v>0.0</v>
      </c>
      <c r="O64" s="23">
        <v>0.0</v>
      </c>
      <c r="P64" s="23">
        <v>0.0</v>
      </c>
      <c r="Q64" s="23">
        <v>0.0</v>
      </c>
      <c r="R64" s="23">
        <v>0.0</v>
      </c>
      <c r="S64" s="26">
        <f t="shared" si="7"/>
        <v>0</v>
      </c>
      <c r="T64" s="23">
        <v>0.0</v>
      </c>
      <c r="U64" s="23">
        <v>0.0</v>
      </c>
      <c r="V64" s="23">
        <v>0.0</v>
      </c>
      <c r="W64" s="23">
        <v>0.0</v>
      </c>
      <c r="X64" s="26">
        <f t="shared" si="8"/>
        <v>0</v>
      </c>
    </row>
    <row r="65">
      <c r="A65" s="20" t="s">
        <v>86</v>
      </c>
      <c r="B65" s="31">
        <v>0.0</v>
      </c>
      <c r="C65" s="22">
        <v>0.0</v>
      </c>
      <c r="D65" s="22">
        <v>0.0</v>
      </c>
      <c r="E65" s="22">
        <v>0.0</v>
      </c>
      <c r="F65" s="22">
        <v>0.0</v>
      </c>
      <c r="G65" s="22">
        <v>0.0</v>
      </c>
      <c r="H65" s="22">
        <v>0.0</v>
      </c>
      <c r="I65" s="22">
        <v>0.0</v>
      </c>
      <c r="J65" s="25">
        <f t="shared" si="5"/>
        <v>0</v>
      </c>
      <c r="K65" s="23">
        <v>0.0</v>
      </c>
      <c r="L65" s="23">
        <v>0.0</v>
      </c>
      <c r="M65" s="25">
        <f t="shared" si="6"/>
        <v>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6">
        <f t="shared" si="7"/>
        <v>0</v>
      </c>
      <c r="T65" s="23">
        <v>0.0</v>
      </c>
      <c r="U65" s="23">
        <v>0.0</v>
      </c>
      <c r="V65" s="23">
        <v>0.0</v>
      </c>
      <c r="W65" s="23">
        <v>0.0</v>
      </c>
      <c r="X65" s="26">
        <f t="shared" si="8"/>
        <v>0</v>
      </c>
    </row>
    <row r="66">
      <c r="A66" s="31" t="s">
        <v>13</v>
      </c>
      <c r="B66" s="35">
        <f t="shared" ref="B66:X66" si="9">SUM(B4:B65)</f>
        <v>429</v>
      </c>
      <c r="C66" s="35">
        <f t="shared" si="9"/>
        <v>38</v>
      </c>
      <c r="D66" s="35">
        <f t="shared" si="9"/>
        <v>356</v>
      </c>
      <c r="E66" s="35">
        <f t="shared" si="9"/>
        <v>2</v>
      </c>
      <c r="F66" s="35">
        <f t="shared" si="9"/>
        <v>1</v>
      </c>
      <c r="G66" s="35">
        <f t="shared" si="9"/>
        <v>0</v>
      </c>
      <c r="H66" s="35">
        <f t="shared" si="9"/>
        <v>32</v>
      </c>
      <c r="I66" s="35">
        <f t="shared" si="9"/>
        <v>0</v>
      </c>
      <c r="J66" s="35">
        <f t="shared" si="9"/>
        <v>429</v>
      </c>
      <c r="K66" s="35">
        <f t="shared" si="9"/>
        <v>355</v>
      </c>
      <c r="L66" s="35">
        <f t="shared" si="9"/>
        <v>74</v>
      </c>
      <c r="M66" s="35">
        <f t="shared" si="9"/>
        <v>429</v>
      </c>
      <c r="N66" s="35">
        <f t="shared" si="9"/>
        <v>133</v>
      </c>
      <c r="O66" s="35">
        <f t="shared" si="9"/>
        <v>197</v>
      </c>
      <c r="P66" s="35">
        <f t="shared" si="9"/>
        <v>68</v>
      </c>
      <c r="Q66" s="35">
        <f t="shared" si="9"/>
        <v>17</v>
      </c>
      <c r="R66" s="35">
        <f t="shared" si="9"/>
        <v>14</v>
      </c>
      <c r="S66" s="35">
        <f t="shared" si="9"/>
        <v>429</v>
      </c>
      <c r="T66" s="35">
        <f t="shared" si="9"/>
        <v>310</v>
      </c>
      <c r="U66" s="35">
        <f t="shared" si="9"/>
        <v>3</v>
      </c>
      <c r="V66" s="35">
        <f t="shared" si="9"/>
        <v>93</v>
      </c>
      <c r="W66" s="35">
        <f t="shared" si="9"/>
        <v>23</v>
      </c>
      <c r="X66" s="35">
        <f t="shared" si="9"/>
        <v>429</v>
      </c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48.0</v>
      </c>
      <c r="C4" s="22">
        <v>0.0</v>
      </c>
      <c r="D4" s="22">
        <v>43.0</v>
      </c>
      <c r="E4" s="22">
        <v>0.0</v>
      </c>
      <c r="F4" s="22">
        <v>0.0</v>
      </c>
      <c r="G4" s="22">
        <v>0.0</v>
      </c>
      <c r="H4" s="22">
        <v>5.0</v>
      </c>
      <c r="I4" s="22">
        <v>0.0</v>
      </c>
      <c r="J4" s="25">
        <f t="shared" ref="J4:J38" si="1">sum(C4:I4)</f>
        <v>48</v>
      </c>
      <c r="K4" s="23">
        <v>47.0</v>
      </c>
      <c r="L4" s="23">
        <v>1.0</v>
      </c>
      <c r="M4" s="25">
        <f t="shared" ref="M4:M38" si="2">sum(K4:L4)</f>
        <v>48</v>
      </c>
      <c r="N4" s="23">
        <v>28.0</v>
      </c>
      <c r="O4" s="23">
        <v>12.0</v>
      </c>
      <c r="P4" s="23">
        <v>6.0</v>
      </c>
      <c r="Q4" s="23">
        <v>1.0</v>
      </c>
      <c r="R4" s="23">
        <v>1.0</v>
      </c>
      <c r="S4" s="26">
        <f t="shared" ref="S4:S38" si="3">sum(N4:R4)</f>
        <v>48</v>
      </c>
      <c r="T4" s="23">
        <v>42.0</v>
      </c>
      <c r="U4" s="23">
        <v>0.0</v>
      </c>
      <c r="V4" s="23">
        <v>1.0</v>
      </c>
      <c r="W4" s="23">
        <v>5.0</v>
      </c>
      <c r="X4" s="26">
        <f t="shared" ref="X4:X38" si="4">sum(T4:W4)</f>
        <v>48</v>
      </c>
    </row>
    <row r="5">
      <c r="A5" s="20" t="s">
        <v>26</v>
      </c>
      <c r="B5" s="21">
        <v>0.0</v>
      </c>
      <c r="C5" s="22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5">
        <f t="shared" si="1"/>
        <v>0</v>
      </c>
      <c r="K5" s="23">
        <v>0.0</v>
      </c>
      <c r="L5" s="23">
        <v>0.0</v>
      </c>
      <c r="M5" s="25">
        <f t="shared" si="2"/>
        <v>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6">
        <f t="shared" si="3"/>
        <v>0</v>
      </c>
      <c r="T5" s="23">
        <v>0.0</v>
      </c>
      <c r="U5" s="23">
        <v>0.0</v>
      </c>
      <c r="V5" s="23">
        <v>0.0</v>
      </c>
      <c r="W5" s="23">
        <v>0.0</v>
      </c>
      <c r="X5" s="26">
        <f t="shared" si="4"/>
        <v>0</v>
      </c>
    </row>
    <row r="6">
      <c r="A6" s="20" t="s">
        <v>27</v>
      </c>
      <c r="B6" s="21">
        <v>4.0</v>
      </c>
      <c r="C6" s="22">
        <v>0.0</v>
      </c>
      <c r="D6" s="22">
        <v>3.0</v>
      </c>
      <c r="E6" s="22">
        <v>0.0</v>
      </c>
      <c r="F6" s="22">
        <v>0.0</v>
      </c>
      <c r="G6" s="22">
        <v>0.0</v>
      </c>
      <c r="H6" s="22">
        <v>1.0</v>
      </c>
      <c r="I6" s="22">
        <v>0.0</v>
      </c>
      <c r="J6" s="25">
        <f t="shared" si="1"/>
        <v>4</v>
      </c>
      <c r="K6" s="23">
        <v>4.0</v>
      </c>
      <c r="L6" s="23">
        <v>0.0</v>
      </c>
      <c r="M6" s="25">
        <f t="shared" si="2"/>
        <v>4</v>
      </c>
      <c r="N6" s="23">
        <v>3.0</v>
      </c>
      <c r="O6" s="23">
        <v>0.0</v>
      </c>
      <c r="P6" s="23">
        <v>1.0</v>
      </c>
      <c r="Q6" s="23">
        <v>0.0</v>
      </c>
      <c r="R6" s="23">
        <v>0.0</v>
      </c>
      <c r="S6" s="26">
        <f t="shared" si="3"/>
        <v>4</v>
      </c>
      <c r="T6" s="23">
        <v>4.0</v>
      </c>
      <c r="U6" s="23">
        <v>0.0</v>
      </c>
      <c r="V6" s="23">
        <v>0.0</v>
      </c>
      <c r="W6" s="23">
        <v>0.0</v>
      </c>
      <c r="X6" s="26">
        <f t="shared" si="4"/>
        <v>4</v>
      </c>
    </row>
    <row r="7">
      <c r="A7" s="20" t="s">
        <v>28</v>
      </c>
      <c r="B7" s="21">
        <v>7.0</v>
      </c>
      <c r="C7" s="22">
        <v>0.0</v>
      </c>
      <c r="D7" s="22">
        <v>6.0</v>
      </c>
      <c r="E7" s="22">
        <v>0.0</v>
      </c>
      <c r="F7" s="22">
        <v>0.0</v>
      </c>
      <c r="G7" s="22">
        <v>0.0</v>
      </c>
      <c r="H7" s="22">
        <v>1.0</v>
      </c>
      <c r="I7" s="22">
        <v>0.0</v>
      </c>
      <c r="J7" s="25">
        <f t="shared" si="1"/>
        <v>7</v>
      </c>
      <c r="K7" s="23">
        <v>7.0</v>
      </c>
      <c r="L7" s="23">
        <v>0.0</v>
      </c>
      <c r="M7" s="25">
        <f t="shared" si="2"/>
        <v>7</v>
      </c>
      <c r="N7" s="23">
        <v>1.0</v>
      </c>
      <c r="O7" s="23">
        <v>6.0</v>
      </c>
      <c r="P7" s="23">
        <v>0.0</v>
      </c>
      <c r="Q7" s="23">
        <v>0.0</v>
      </c>
      <c r="R7" s="23">
        <v>0.0</v>
      </c>
      <c r="S7" s="26">
        <f t="shared" si="3"/>
        <v>7</v>
      </c>
      <c r="T7" s="23">
        <v>6.0</v>
      </c>
      <c r="U7" s="23">
        <v>0.0</v>
      </c>
      <c r="V7" s="23">
        <v>1.0</v>
      </c>
      <c r="W7" s="23">
        <v>0.0</v>
      </c>
      <c r="X7" s="26">
        <f t="shared" si="4"/>
        <v>7</v>
      </c>
    </row>
    <row r="8">
      <c r="A8" s="20" t="s">
        <v>29</v>
      </c>
      <c r="B8" s="21">
        <v>10.0</v>
      </c>
      <c r="C8" s="22">
        <v>0.0</v>
      </c>
      <c r="D8" s="22">
        <v>9.0</v>
      </c>
      <c r="E8" s="22">
        <v>0.0</v>
      </c>
      <c r="F8" s="22">
        <v>0.0</v>
      </c>
      <c r="G8" s="22">
        <v>0.0</v>
      </c>
      <c r="H8" s="22">
        <v>1.0</v>
      </c>
      <c r="I8" s="22">
        <v>0.0</v>
      </c>
      <c r="J8" s="25">
        <f t="shared" si="1"/>
        <v>10</v>
      </c>
      <c r="K8" s="23">
        <v>4.0</v>
      </c>
      <c r="L8" s="23">
        <v>6.0</v>
      </c>
      <c r="M8" s="25">
        <f t="shared" si="2"/>
        <v>10</v>
      </c>
      <c r="N8" s="23">
        <v>7.0</v>
      </c>
      <c r="O8" s="23">
        <v>2.0</v>
      </c>
      <c r="P8" s="23">
        <v>0.0</v>
      </c>
      <c r="Q8" s="23">
        <v>1.0</v>
      </c>
      <c r="R8" s="23">
        <v>0.0</v>
      </c>
      <c r="S8" s="26">
        <f t="shared" si="3"/>
        <v>10</v>
      </c>
      <c r="T8" s="23">
        <v>5.0</v>
      </c>
      <c r="U8" s="23">
        <v>3.0</v>
      </c>
      <c r="V8" s="23">
        <v>2.0</v>
      </c>
      <c r="W8" s="23">
        <v>0.0</v>
      </c>
      <c r="X8" s="26">
        <f t="shared" si="4"/>
        <v>10</v>
      </c>
    </row>
    <row r="9">
      <c r="A9" s="20" t="s">
        <v>30</v>
      </c>
      <c r="B9" s="21">
        <v>8.0</v>
      </c>
      <c r="C9" s="22">
        <v>2.0</v>
      </c>
      <c r="D9" s="22">
        <v>5.0</v>
      </c>
      <c r="E9" s="22">
        <v>0.0</v>
      </c>
      <c r="F9" s="22">
        <v>0.0</v>
      </c>
      <c r="G9" s="22">
        <v>0.0</v>
      </c>
      <c r="H9" s="22">
        <v>1.0</v>
      </c>
      <c r="I9" s="22">
        <v>0.0</v>
      </c>
      <c r="J9" s="25">
        <f t="shared" si="1"/>
        <v>8</v>
      </c>
      <c r="K9" s="23">
        <v>7.0</v>
      </c>
      <c r="L9" s="23">
        <v>1.0</v>
      </c>
      <c r="M9" s="25">
        <f t="shared" si="2"/>
        <v>8</v>
      </c>
      <c r="N9" s="23">
        <v>0.0</v>
      </c>
      <c r="O9" s="23">
        <v>5.0</v>
      </c>
      <c r="P9" s="23">
        <v>1.0</v>
      </c>
      <c r="Q9" s="23">
        <v>2.0</v>
      </c>
      <c r="R9" s="23">
        <v>0.0</v>
      </c>
      <c r="S9" s="26">
        <f t="shared" si="3"/>
        <v>8</v>
      </c>
      <c r="T9" s="23">
        <v>6.0</v>
      </c>
      <c r="U9" s="23">
        <v>0.0</v>
      </c>
      <c r="V9" s="23">
        <v>1.0</v>
      </c>
      <c r="W9" s="23">
        <v>1.0</v>
      </c>
      <c r="X9" s="26">
        <f t="shared" si="4"/>
        <v>8</v>
      </c>
    </row>
    <row r="10">
      <c r="A10" s="20" t="s">
        <v>31</v>
      </c>
      <c r="B10" s="21">
        <v>0.0</v>
      </c>
      <c r="C10" s="22">
        <v>0.0</v>
      </c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5">
        <f t="shared" si="1"/>
        <v>0</v>
      </c>
      <c r="K10" s="23">
        <v>0.0</v>
      </c>
      <c r="L10" s="23">
        <v>0.0</v>
      </c>
      <c r="M10" s="25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6">
        <f t="shared" si="3"/>
        <v>0</v>
      </c>
      <c r="T10" s="23">
        <v>0.0</v>
      </c>
      <c r="U10" s="23">
        <v>0.0</v>
      </c>
      <c r="V10" s="23">
        <v>0.0</v>
      </c>
      <c r="W10" s="23">
        <v>0.0</v>
      </c>
      <c r="X10" s="26">
        <f t="shared" si="4"/>
        <v>0</v>
      </c>
    </row>
    <row r="11">
      <c r="A11" s="20" t="s">
        <v>32</v>
      </c>
      <c r="B11" s="21">
        <v>0.0</v>
      </c>
      <c r="C11" s="22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20.0</v>
      </c>
      <c r="C12" s="22">
        <v>0.0</v>
      </c>
      <c r="D12" s="22">
        <v>17.0</v>
      </c>
      <c r="E12" s="22">
        <v>0.0</v>
      </c>
      <c r="F12" s="22">
        <v>0.0</v>
      </c>
      <c r="G12" s="22">
        <v>0.0</v>
      </c>
      <c r="H12" s="22">
        <v>3.0</v>
      </c>
      <c r="I12" s="22">
        <v>0.0</v>
      </c>
      <c r="J12" s="25">
        <f t="shared" si="1"/>
        <v>20</v>
      </c>
      <c r="K12" s="23">
        <v>20.0</v>
      </c>
      <c r="L12" s="23">
        <v>0.0</v>
      </c>
      <c r="M12" s="25">
        <f t="shared" si="2"/>
        <v>20</v>
      </c>
      <c r="N12" s="23">
        <v>11.0</v>
      </c>
      <c r="O12" s="23">
        <v>5.0</v>
      </c>
      <c r="P12" s="23">
        <v>4.0</v>
      </c>
      <c r="Q12" s="23">
        <v>0.0</v>
      </c>
      <c r="R12" s="23">
        <v>0.0</v>
      </c>
      <c r="S12" s="26">
        <f t="shared" si="3"/>
        <v>20</v>
      </c>
      <c r="T12" s="23">
        <v>15.0</v>
      </c>
      <c r="U12" s="23">
        <v>0.0</v>
      </c>
      <c r="V12" s="23">
        <v>1.0</v>
      </c>
      <c r="W12" s="23">
        <v>4.0</v>
      </c>
      <c r="X12" s="26">
        <f t="shared" si="4"/>
        <v>20</v>
      </c>
    </row>
    <row r="13">
      <c r="A13" s="20" t="s">
        <v>34</v>
      </c>
      <c r="B13" s="21">
        <v>55.0</v>
      </c>
      <c r="C13" s="22">
        <v>3.0</v>
      </c>
      <c r="D13" s="22">
        <v>41.0</v>
      </c>
      <c r="E13" s="22">
        <v>0.0</v>
      </c>
      <c r="F13" s="22">
        <v>0.0</v>
      </c>
      <c r="G13" s="22">
        <v>0.0</v>
      </c>
      <c r="H13" s="22">
        <v>11.0</v>
      </c>
      <c r="I13" s="22">
        <v>0.0</v>
      </c>
      <c r="J13" s="25">
        <f t="shared" si="1"/>
        <v>55</v>
      </c>
      <c r="K13" s="23">
        <v>49.0</v>
      </c>
      <c r="L13" s="23">
        <v>6.0</v>
      </c>
      <c r="M13" s="25">
        <f t="shared" si="2"/>
        <v>55</v>
      </c>
      <c r="N13" s="23">
        <v>0.0</v>
      </c>
      <c r="O13" s="23">
        <v>40.0</v>
      </c>
      <c r="P13" s="23">
        <v>11.0</v>
      </c>
      <c r="Q13" s="23">
        <v>4.0</v>
      </c>
      <c r="R13" s="23">
        <v>0.0</v>
      </c>
      <c r="S13" s="26">
        <f t="shared" si="3"/>
        <v>55</v>
      </c>
      <c r="T13" s="23">
        <v>49.0</v>
      </c>
      <c r="U13" s="23">
        <v>0.0</v>
      </c>
      <c r="V13" s="23">
        <v>6.0</v>
      </c>
      <c r="W13" s="23">
        <v>0.0</v>
      </c>
      <c r="X13" s="26">
        <f t="shared" si="4"/>
        <v>55</v>
      </c>
    </row>
    <row r="14">
      <c r="A14" s="20" t="s">
        <v>35</v>
      </c>
      <c r="B14" s="27">
        <v>10.0</v>
      </c>
      <c r="C14" s="22">
        <v>0.0</v>
      </c>
      <c r="D14" s="22">
        <v>9.0</v>
      </c>
      <c r="E14" s="22">
        <v>0.0</v>
      </c>
      <c r="F14" s="22">
        <v>0.0</v>
      </c>
      <c r="G14" s="22">
        <v>0.0</v>
      </c>
      <c r="H14" s="22">
        <v>1.0</v>
      </c>
      <c r="I14" s="22">
        <v>0.0</v>
      </c>
      <c r="J14" s="25">
        <f t="shared" si="1"/>
        <v>10</v>
      </c>
      <c r="K14" s="23">
        <v>8.0</v>
      </c>
      <c r="L14" s="23">
        <v>2.0</v>
      </c>
      <c r="M14" s="25">
        <f t="shared" si="2"/>
        <v>10</v>
      </c>
      <c r="N14" s="23">
        <v>3.0</v>
      </c>
      <c r="O14" s="23">
        <v>2.0</v>
      </c>
      <c r="P14" s="23">
        <v>2.0</v>
      </c>
      <c r="Q14" s="23">
        <v>3.0</v>
      </c>
      <c r="R14" s="23">
        <v>0.0</v>
      </c>
      <c r="S14" s="26">
        <f t="shared" si="3"/>
        <v>10</v>
      </c>
      <c r="T14" s="23">
        <v>8.0</v>
      </c>
      <c r="U14" s="23">
        <v>0.0</v>
      </c>
      <c r="V14" s="23">
        <v>0.0</v>
      </c>
      <c r="W14" s="23">
        <v>2.0</v>
      </c>
      <c r="X14" s="26">
        <f t="shared" si="4"/>
        <v>10</v>
      </c>
    </row>
    <row r="15">
      <c r="A15" s="20" t="s">
        <v>36</v>
      </c>
      <c r="B15" s="21">
        <v>0.0</v>
      </c>
      <c r="C15" s="22">
        <v>0.0</v>
      </c>
      <c r="D15" s="22">
        <v>0.0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5">
        <f t="shared" si="1"/>
        <v>0</v>
      </c>
      <c r="K15" s="23">
        <v>0.0</v>
      </c>
      <c r="L15" s="23">
        <v>0.0</v>
      </c>
      <c r="M15" s="25">
        <f t="shared" si="2"/>
        <v>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6">
        <f t="shared" si="3"/>
        <v>0</v>
      </c>
      <c r="T15" s="23">
        <v>0.0</v>
      </c>
      <c r="U15" s="23">
        <v>0.0</v>
      </c>
      <c r="V15" s="23">
        <v>0.0</v>
      </c>
      <c r="W15" s="23">
        <v>0.0</v>
      </c>
      <c r="X15" s="26">
        <f t="shared" si="4"/>
        <v>0</v>
      </c>
    </row>
    <row r="16">
      <c r="A16" s="20" t="s">
        <v>37</v>
      </c>
      <c r="B16" s="21">
        <v>5.0</v>
      </c>
      <c r="C16" s="22">
        <v>0.0</v>
      </c>
      <c r="D16" s="22">
        <v>5.0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5">
        <f t="shared" si="1"/>
        <v>5</v>
      </c>
      <c r="K16" s="23">
        <v>4.0</v>
      </c>
      <c r="L16" s="23">
        <v>1.0</v>
      </c>
      <c r="M16" s="25">
        <f t="shared" si="2"/>
        <v>5</v>
      </c>
      <c r="N16" s="23">
        <v>0.0</v>
      </c>
      <c r="O16" s="23">
        <v>1.0</v>
      </c>
      <c r="P16" s="23">
        <v>4.0</v>
      </c>
      <c r="Q16" s="23">
        <v>0.0</v>
      </c>
      <c r="R16" s="23">
        <v>0.0</v>
      </c>
      <c r="S16" s="26">
        <f t="shared" si="3"/>
        <v>5</v>
      </c>
      <c r="T16" s="23">
        <v>3.0</v>
      </c>
      <c r="U16" s="23">
        <v>0.0</v>
      </c>
      <c r="V16" s="23">
        <v>1.0</v>
      </c>
      <c r="W16" s="23">
        <v>1.0</v>
      </c>
      <c r="X16" s="26">
        <f t="shared" si="4"/>
        <v>5</v>
      </c>
    </row>
    <row r="17">
      <c r="A17" s="20" t="s">
        <v>38</v>
      </c>
      <c r="B17" s="21">
        <v>13.0</v>
      </c>
      <c r="C17" s="22">
        <v>1.0</v>
      </c>
      <c r="D17" s="22">
        <v>11.0</v>
      </c>
      <c r="E17" s="22">
        <v>0.0</v>
      </c>
      <c r="F17" s="22">
        <v>0.0</v>
      </c>
      <c r="G17" s="22">
        <v>0.0</v>
      </c>
      <c r="H17" s="22">
        <v>1.0</v>
      </c>
      <c r="I17" s="22">
        <v>0.0</v>
      </c>
      <c r="J17" s="25">
        <f t="shared" si="1"/>
        <v>13</v>
      </c>
      <c r="K17" s="23">
        <v>13.0</v>
      </c>
      <c r="L17" s="23">
        <v>0.0</v>
      </c>
      <c r="M17" s="25">
        <f t="shared" si="2"/>
        <v>13</v>
      </c>
      <c r="N17" s="23">
        <v>0.0</v>
      </c>
      <c r="O17" s="23">
        <v>0.0</v>
      </c>
      <c r="P17" s="23">
        <v>6.0</v>
      </c>
      <c r="Q17" s="23">
        <v>7.0</v>
      </c>
      <c r="R17" s="23">
        <v>0.0</v>
      </c>
      <c r="S17" s="26">
        <f t="shared" si="3"/>
        <v>13</v>
      </c>
      <c r="T17" s="23">
        <v>11.0</v>
      </c>
      <c r="U17" s="23">
        <v>0.0</v>
      </c>
      <c r="V17" s="23">
        <v>2.0</v>
      </c>
      <c r="W17" s="23">
        <v>0.0</v>
      </c>
      <c r="X17" s="26">
        <f t="shared" si="4"/>
        <v>13</v>
      </c>
    </row>
    <row r="18">
      <c r="A18" s="20" t="s">
        <v>39</v>
      </c>
      <c r="B18" s="27">
        <v>43.0</v>
      </c>
      <c r="C18" s="22">
        <v>1.0</v>
      </c>
      <c r="D18" s="22">
        <v>35.0</v>
      </c>
      <c r="E18" s="22">
        <v>0.0</v>
      </c>
      <c r="F18" s="22">
        <v>0.0</v>
      </c>
      <c r="G18" s="22">
        <v>0.0</v>
      </c>
      <c r="H18" s="22">
        <v>7.0</v>
      </c>
      <c r="I18" s="22">
        <v>0.0</v>
      </c>
      <c r="J18" s="25">
        <f t="shared" si="1"/>
        <v>43</v>
      </c>
      <c r="K18" s="23">
        <v>41.0</v>
      </c>
      <c r="L18" s="23">
        <v>2.0</v>
      </c>
      <c r="M18" s="25">
        <f t="shared" si="2"/>
        <v>43</v>
      </c>
      <c r="N18" s="23">
        <v>14.0</v>
      </c>
      <c r="O18" s="23">
        <v>17.0</v>
      </c>
      <c r="P18" s="23">
        <v>7.0</v>
      </c>
      <c r="Q18" s="23">
        <v>5.0</v>
      </c>
      <c r="R18" s="23">
        <v>0.0</v>
      </c>
      <c r="S18" s="26">
        <f t="shared" si="3"/>
        <v>43</v>
      </c>
      <c r="T18" s="23">
        <v>38.0</v>
      </c>
      <c r="U18" s="23">
        <v>2.0</v>
      </c>
      <c r="V18" s="23">
        <v>2.0</v>
      </c>
      <c r="W18" s="23">
        <v>1.0</v>
      </c>
      <c r="X18" s="26">
        <f t="shared" si="4"/>
        <v>43</v>
      </c>
    </row>
    <row r="19">
      <c r="A19" s="20" t="s">
        <v>40</v>
      </c>
      <c r="B19" s="27">
        <v>0.0</v>
      </c>
      <c r="C19" s="22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5">
        <f t="shared" si="1"/>
        <v>0</v>
      </c>
      <c r="K19" s="23">
        <v>0.0</v>
      </c>
      <c r="L19" s="23">
        <v>0.0</v>
      </c>
      <c r="M19" s="25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0</v>
      </c>
      <c r="T19" s="23">
        <v>0.0</v>
      </c>
      <c r="U19" s="23">
        <v>0.0</v>
      </c>
      <c r="V19" s="23">
        <v>0.0</v>
      </c>
      <c r="W19" s="23">
        <v>0.0</v>
      </c>
      <c r="X19" s="26">
        <f t="shared" si="4"/>
        <v>0</v>
      </c>
    </row>
    <row r="20">
      <c r="A20" s="20" t="s">
        <v>41</v>
      </c>
      <c r="B20" s="21">
        <v>0.0</v>
      </c>
      <c r="C20" s="22">
        <v>0.0</v>
      </c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3">
        <v>0.0</v>
      </c>
      <c r="X20" s="26">
        <f t="shared" si="4"/>
        <v>0</v>
      </c>
    </row>
    <row r="21">
      <c r="A21" s="20" t="s">
        <v>42</v>
      </c>
      <c r="B21" s="27">
        <v>5.0</v>
      </c>
      <c r="C21" s="22">
        <v>0.0</v>
      </c>
      <c r="D21" s="22">
        <v>4.0</v>
      </c>
      <c r="E21" s="22">
        <v>0.0</v>
      </c>
      <c r="F21" s="22">
        <v>0.0</v>
      </c>
      <c r="G21" s="22">
        <v>0.0</v>
      </c>
      <c r="H21" s="22">
        <v>1.0</v>
      </c>
      <c r="I21" s="22">
        <v>0.0</v>
      </c>
      <c r="J21" s="25">
        <f t="shared" si="1"/>
        <v>5</v>
      </c>
      <c r="K21" s="23">
        <v>5.0</v>
      </c>
      <c r="L21" s="23">
        <v>0.0</v>
      </c>
      <c r="M21" s="25">
        <f t="shared" si="2"/>
        <v>5</v>
      </c>
      <c r="N21" s="23">
        <v>2.0</v>
      </c>
      <c r="O21" s="23">
        <v>1.0</v>
      </c>
      <c r="P21" s="23">
        <v>2.0</v>
      </c>
      <c r="Q21" s="23">
        <v>0.0</v>
      </c>
      <c r="R21" s="23">
        <v>0.0</v>
      </c>
      <c r="S21" s="26">
        <f t="shared" si="3"/>
        <v>5</v>
      </c>
      <c r="T21" s="23">
        <v>4.0</v>
      </c>
      <c r="U21" s="23">
        <v>0.0</v>
      </c>
      <c r="V21" s="23">
        <v>1.0</v>
      </c>
      <c r="W21" s="23">
        <v>0.0</v>
      </c>
      <c r="X21" s="26">
        <f t="shared" si="4"/>
        <v>5</v>
      </c>
    </row>
    <row r="22">
      <c r="A22" s="20" t="s">
        <v>43</v>
      </c>
      <c r="B22" s="27">
        <v>73.0</v>
      </c>
      <c r="C22" s="22">
        <v>3.0</v>
      </c>
      <c r="D22" s="22">
        <v>50.0</v>
      </c>
      <c r="E22" s="22">
        <v>2.0</v>
      </c>
      <c r="F22" s="22">
        <v>0.0</v>
      </c>
      <c r="G22" s="22">
        <v>0.0</v>
      </c>
      <c r="H22" s="22">
        <v>18.0</v>
      </c>
      <c r="I22" s="22">
        <v>0.0</v>
      </c>
      <c r="J22" s="25">
        <f t="shared" si="1"/>
        <v>73</v>
      </c>
      <c r="K22" s="23">
        <v>73.0</v>
      </c>
      <c r="L22" s="23">
        <v>0.0</v>
      </c>
      <c r="M22" s="25">
        <f t="shared" si="2"/>
        <v>73</v>
      </c>
      <c r="N22" s="23">
        <v>25.0</v>
      </c>
      <c r="O22" s="23">
        <v>36.0</v>
      </c>
      <c r="P22" s="23">
        <v>10.0</v>
      </c>
      <c r="Q22" s="23">
        <v>1.0</v>
      </c>
      <c r="R22" s="23">
        <v>1.0</v>
      </c>
      <c r="S22" s="26">
        <f t="shared" si="3"/>
        <v>73</v>
      </c>
      <c r="T22" s="23">
        <v>73.0</v>
      </c>
      <c r="U22" s="23">
        <v>0.0</v>
      </c>
      <c r="V22" s="23">
        <v>0.0</v>
      </c>
      <c r="W22" s="23">
        <v>0.0</v>
      </c>
      <c r="X22" s="26">
        <f t="shared" si="4"/>
        <v>73</v>
      </c>
    </row>
    <row r="23">
      <c r="A23" s="20" t="s">
        <v>44</v>
      </c>
      <c r="B23" s="27">
        <v>4.0</v>
      </c>
      <c r="C23" s="22">
        <v>1.0</v>
      </c>
      <c r="D23" s="22">
        <v>2.0</v>
      </c>
      <c r="E23" s="22">
        <v>0.0</v>
      </c>
      <c r="F23" s="22">
        <v>0.0</v>
      </c>
      <c r="G23" s="22">
        <v>0.0</v>
      </c>
      <c r="H23" s="22">
        <v>1.0</v>
      </c>
      <c r="I23" s="22">
        <v>0.0</v>
      </c>
      <c r="J23" s="25">
        <f t="shared" si="1"/>
        <v>4</v>
      </c>
      <c r="K23" s="23">
        <v>3.0</v>
      </c>
      <c r="L23" s="23">
        <v>1.0</v>
      </c>
      <c r="M23" s="25">
        <f t="shared" si="2"/>
        <v>4</v>
      </c>
      <c r="N23" s="23">
        <v>2.0</v>
      </c>
      <c r="O23" s="23">
        <v>1.0</v>
      </c>
      <c r="P23" s="23">
        <v>0.0</v>
      </c>
      <c r="Q23" s="23">
        <v>1.0</v>
      </c>
      <c r="R23" s="23">
        <v>0.0</v>
      </c>
      <c r="S23" s="26">
        <f t="shared" si="3"/>
        <v>4</v>
      </c>
      <c r="T23" s="23">
        <v>2.0</v>
      </c>
      <c r="U23" s="23">
        <v>1.0</v>
      </c>
      <c r="V23" s="23">
        <v>1.0</v>
      </c>
      <c r="W23" s="23">
        <v>0.0</v>
      </c>
      <c r="X23" s="26">
        <f t="shared" si="4"/>
        <v>4</v>
      </c>
    </row>
    <row r="24">
      <c r="A24" s="20" t="s">
        <v>45</v>
      </c>
      <c r="B24" s="27">
        <v>0.0</v>
      </c>
      <c r="C24" s="22">
        <v>0.0</v>
      </c>
      <c r="D24" s="22">
        <v>0.0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5">
        <f t="shared" si="1"/>
        <v>0</v>
      </c>
      <c r="K24" s="23">
        <v>0.0</v>
      </c>
      <c r="L24" s="23">
        <v>0.0</v>
      </c>
      <c r="M24" s="25">
        <f t="shared" si="2"/>
        <v>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6">
        <f t="shared" si="3"/>
        <v>0</v>
      </c>
      <c r="T24" s="23">
        <v>0.0</v>
      </c>
      <c r="U24" s="23">
        <v>0.0</v>
      </c>
      <c r="V24" s="23">
        <v>0.0</v>
      </c>
      <c r="W24" s="23">
        <v>0.0</v>
      </c>
      <c r="X24" s="26">
        <f t="shared" si="4"/>
        <v>0</v>
      </c>
    </row>
    <row r="25">
      <c r="A25" s="20" t="s">
        <v>46</v>
      </c>
      <c r="B25" s="27">
        <v>10.0</v>
      </c>
      <c r="C25" s="22">
        <v>3.0</v>
      </c>
      <c r="D25" s="22">
        <v>6.0</v>
      </c>
      <c r="E25" s="22">
        <v>0.0</v>
      </c>
      <c r="F25" s="22">
        <v>0.0</v>
      </c>
      <c r="G25" s="22">
        <v>0.0</v>
      </c>
      <c r="H25" s="22">
        <v>1.0</v>
      </c>
      <c r="I25" s="22">
        <v>0.0</v>
      </c>
      <c r="J25" s="25">
        <f t="shared" si="1"/>
        <v>10</v>
      </c>
      <c r="K25" s="23">
        <v>9.0</v>
      </c>
      <c r="L25" s="23">
        <v>1.0</v>
      </c>
      <c r="M25" s="25">
        <f t="shared" si="2"/>
        <v>10</v>
      </c>
      <c r="N25" s="23">
        <v>0.0</v>
      </c>
      <c r="O25" s="23">
        <v>9.0</v>
      </c>
      <c r="P25" s="23">
        <v>1.0</v>
      </c>
      <c r="Q25" s="23">
        <v>0.0</v>
      </c>
      <c r="R25" s="23">
        <v>0.0</v>
      </c>
      <c r="S25" s="26">
        <f t="shared" si="3"/>
        <v>10</v>
      </c>
      <c r="T25" s="23">
        <v>9.0</v>
      </c>
      <c r="U25" s="23">
        <v>0.0</v>
      </c>
      <c r="V25" s="23">
        <v>0.0</v>
      </c>
      <c r="W25" s="23">
        <v>1.0</v>
      </c>
      <c r="X25" s="26">
        <f t="shared" si="4"/>
        <v>10</v>
      </c>
    </row>
    <row r="26">
      <c r="A26" s="20" t="s">
        <v>47</v>
      </c>
      <c r="B26" s="27">
        <v>16.0</v>
      </c>
      <c r="C26" s="22">
        <v>7.0</v>
      </c>
      <c r="D26" s="22">
        <v>6.0</v>
      </c>
      <c r="E26" s="22">
        <v>0.0</v>
      </c>
      <c r="F26" s="22">
        <v>0.0</v>
      </c>
      <c r="G26" s="22">
        <v>0.0</v>
      </c>
      <c r="H26" s="22">
        <v>3.0</v>
      </c>
      <c r="I26" s="22">
        <v>0.0</v>
      </c>
      <c r="J26" s="25">
        <f t="shared" si="1"/>
        <v>16</v>
      </c>
      <c r="K26" s="23">
        <v>15.0</v>
      </c>
      <c r="L26" s="23">
        <v>1.0</v>
      </c>
      <c r="M26" s="25">
        <f t="shared" si="2"/>
        <v>16</v>
      </c>
      <c r="N26" s="23">
        <v>1.0</v>
      </c>
      <c r="O26" s="23">
        <v>13.0</v>
      </c>
      <c r="P26" s="23">
        <v>2.0</v>
      </c>
      <c r="Q26" s="23">
        <v>0.0</v>
      </c>
      <c r="R26" s="23">
        <v>0.0</v>
      </c>
      <c r="S26" s="26">
        <f t="shared" si="3"/>
        <v>16</v>
      </c>
      <c r="T26" s="23">
        <v>14.0</v>
      </c>
      <c r="U26" s="23">
        <v>0.0</v>
      </c>
      <c r="V26" s="23">
        <v>2.0</v>
      </c>
      <c r="W26" s="23">
        <v>0.0</v>
      </c>
      <c r="X26" s="26">
        <f t="shared" si="4"/>
        <v>16</v>
      </c>
    </row>
    <row r="27">
      <c r="A27" s="20" t="s">
        <v>48</v>
      </c>
      <c r="B27" s="21">
        <v>1.0</v>
      </c>
      <c r="C27" s="22">
        <v>1.0</v>
      </c>
      <c r="D27" s="22">
        <v>0.0</v>
      </c>
      <c r="E27" s="22">
        <v>0.0</v>
      </c>
      <c r="F27" s="22">
        <v>0.0</v>
      </c>
      <c r="G27" s="22">
        <v>0.0</v>
      </c>
      <c r="H27" s="22">
        <v>0.0</v>
      </c>
      <c r="I27" s="22">
        <v>0.0</v>
      </c>
      <c r="J27" s="25">
        <f t="shared" si="1"/>
        <v>1</v>
      </c>
      <c r="K27" s="23">
        <v>1.0</v>
      </c>
      <c r="L27" s="23">
        <v>0.0</v>
      </c>
      <c r="M27" s="25">
        <f t="shared" si="2"/>
        <v>1</v>
      </c>
      <c r="N27" s="23">
        <v>0.0</v>
      </c>
      <c r="O27" s="23">
        <v>0.0</v>
      </c>
      <c r="P27" s="23">
        <v>1.0</v>
      </c>
      <c r="Q27" s="23">
        <v>0.0</v>
      </c>
      <c r="R27" s="23">
        <v>0.0</v>
      </c>
      <c r="S27" s="26">
        <f t="shared" si="3"/>
        <v>1</v>
      </c>
      <c r="T27" s="23">
        <v>0.0</v>
      </c>
      <c r="U27" s="23">
        <v>0.0</v>
      </c>
      <c r="V27" s="23">
        <v>1.0</v>
      </c>
      <c r="W27" s="23">
        <v>0.0</v>
      </c>
      <c r="X27" s="26">
        <f t="shared" si="4"/>
        <v>1</v>
      </c>
    </row>
    <row r="28">
      <c r="A28" s="20" t="s">
        <v>49</v>
      </c>
      <c r="B28" s="21">
        <v>14.0</v>
      </c>
      <c r="C28" s="22">
        <v>0.0</v>
      </c>
      <c r="D28" s="22">
        <v>12.0</v>
      </c>
      <c r="E28" s="22">
        <v>0.0</v>
      </c>
      <c r="F28" s="22">
        <v>0.0</v>
      </c>
      <c r="G28" s="22">
        <v>0.0</v>
      </c>
      <c r="H28" s="22">
        <v>2.0</v>
      </c>
      <c r="I28" s="22">
        <v>0.0</v>
      </c>
      <c r="J28" s="25">
        <f t="shared" si="1"/>
        <v>14</v>
      </c>
      <c r="K28" s="23">
        <v>7.0</v>
      </c>
      <c r="L28" s="23">
        <v>7.0</v>
      </c>
      <c r="M28" s="25">
        <f t="shared" si="2"/>
        <v>14</v>
      </c>
      <c r="N28" s="23">
        <v>1.0</v>
      </c>
      <c r="O28" s="23">
        <v>13.0</v>
      </c>
      <c r="P28" s="23">
        <v>0.0</v>
      </c>
      <c r="Q28" s="23">
        <v>0.0</v>
      </c>
      <c r="R28" s="23">
        <v>0.0</v>
      </c>
      <c r="S28" s="26">
        <f t="shared" si="3"/>
        <v>14</v>
      </c>
      <c r="T28" s="23">
        <v>7.0</v>
      </c>
      <c r="U28" s="23">
        <v>0.0</v>
      </c>
      <c r="V28" s="23">
        <v>5.0</v>
      </c>
      <c r="W28" s="23">
        <v>2.0</v>
      </c>
      <c r="X28" s="26">
        <f t="shared" si="4"/>
        <v>14</v>
      </c>
    </row>
    <row r="29">
      <c r="A29" s="20" t="s">
        <v>50</v>
      </c>
      <c r="B29" s="21">
        <v>22.0</v>
      </c>
      <c r="C29" s="22">
        <v>1.0</v>
      </c>
      <c r="D29" s="22">
        <v>21.0</v>
      </c>
      <c r="E29" s="22">
        <v>0.0</v>
      </c>
      <c r="F29" s="22">
        <v>0.0</v>
      </c>
      <c r="G29" s="22">
        <v>0.0</v>
      </c>
      <c r="H29" s="22">
        <v>0.0</v>
      </c>
      <c r="I29" s="22">
        <v>0.0</v>
      </c>
      <c r="J29" s="25">
        <f t="shared" si="1"/>
        <v>22</v>
      </c>
      <c r="K29" s="23">
        <v>20.0</v>
      </c>
      <c r="L29" s="23">
        <v>2.0</v>
      </c>
      <c r="M29" s="25">
        <f t="shared" si="2"/>
        <v>22</v>
      </c>
      <c r="N29" s="23">
        <v>0.0</v>
      </c>
      <c r="O29" s="23">
        <v>20.0</v>
      </c>
      <c r="P29" s="23">
        <v>2.0</v>
      </c>
      <c r="Q29" s="23">
        <v>0.0</v>
      </c>
      <c r="R29" s="23">
        <v>0.0</v>
      </c>
      <c r="S29" s="26">
        <f t="shared" si="3"/>
        <v>22</v>
      </c>
      <c r="T29" s="23">
        <v>14.0</v>
      </c>
      <c r="U29" s="23">
        <v>0.0</v>
      </c>
      <c r="V29" s="23">
        <v>8.0</v>
      </c>
      <c r="W29" s="23">
        <v>0.0</v>
      </c>
      <c r="X29" s="26">
        <f t="shared" si="4"/>
        <v>22</v>
      </c>
    </row>
    <row r="30">
      <c r="A30" s="20" t="s">
        <v>51</v>
      </c>
      <c r="B30" s="27">
        <v>0.0</v>
      </c>
      <c r="C30" s="22">
        <v>0.0</v>
      </c>
      <c r="D30" s="22">
        <v>0.0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5">
        <f t="shared" si="1"/>
        <v>0</v>
      </c>
      <c r="K30" s="23">
        <v>0.0</v>
      </c>
      <c r="L30" s="23">
        <v>0.0</v>
      </c>
      <c r="M30" s="25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6">
        <f t="shared" si="3"/>
        <v>0</v>
      </c>
      <c r="T30" s="23">
        <v>0.0</v>
      </c>
      <c r="U30" s="23">
        <v>0.0</v>
      </c>
      <c r="V30" s="23">
        <v>0.0</v>
      </c>
      <c r="W30" s="23">
        <v>0.0</v>
      </c>
      <c r="X30" s="26">
        <f t="shared" si="4"/>
        <v>0</v>
      </c>
    </row>
    <row r="31">
      <c r="A31" s="20" t="s">
        <v>52</v>
      </c>
      <c r="B31" s="27">
        <v>11.0</v>
      </c>
      <c r="C31" s="22">
        <v>0.0</v>
      </c>
      <c r="D31" s="22">
        <v>11.0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5">
        <f t="shared" si="1"/>
        <v>11</v>
      </c>
      <c r="K31" s="23">
        <v>11.0</v>
      </c>
      <c r="L31" s="23">
        <v>0.0</v>
      </c>
      <c r="M31" s="25">
        <f t="shared" si="2"/>
        <v>11</v>
      </c>
      <c r="N31" s="23">
        <v>1.0</v>
      </c>
      <c r="O31" s="23">
        <v>0.0</v>
      </c>
      <c r="P31" s="23">
        <v>10.0</v>
      </c>
      <c r="Q31" s="23">
        <v>0.0</v>
      </c>
      <c r="R31" s="23">
        <v>0.0</v>
      </c>
      <c r="S31" s="26">
        <f t="shared" si="3"/>
        <v>11</v>
      </c>
      <c r="T31" s="23">
        <v>6.0</v>
      </c>
      <c r="U31" s="23">
        <v>0.0</v>
      </c>
      <c r="V31" s="23">
        <v>5.0</v>
      </c>
      <c r="W31" s="23">
        <v>0.0</v>
      </c>
      <c r="X31" s="26">
        <f t="shared" si="4"/>
        <v>11</v>
      </c>
    </row>
    <row r="32">
      <c r="A32" s="20" t="s">
        <v>53</v>
      </c>
      <c r="B32" s="21">
        <v>5.0</v>
      </c>
      <c r="C32" s="22">
        <v>1.0</v>
      </c>
      <c r="D32" s="22">
        <v>1.0</v>
      </c>
      <c r="E32" s="22">
        <v>0.0</v>
      </c>
      <c r="F32" s="22">
        <v>0.0</v>
      </c>
      <c r="G32" s="22">
        <v>0.0</v>
      </c>
      <c r="H32" s="22">
        <v>3.0</v>
      </c>
      <c r="I32" s="22">
        <v>0.0</v>
      </c>
      <c r="J32" s="25">
        <f t="shared" si="1"/>
        <v>5</v>
      </c>
      <c r="K32" s="23">
        <v>5.0</v>
      </c>
      <c r="L32" s="23">
        <v>0.0</v>
      </c>
      <c r="M32" s="25">
        <f t="shared" si="2"/>
        <v>5</v>
      </c>
      <c r="N32" s="23">
        <v>0.0</v>
      </c>
      <c r="O32" s="23">
        <v>3.0</v>
      </c>
      <c r="P32" s="23">
        <v>1.0</v>
      </c>
      <c r="Q32" s="23">
        <v>1.0</v>
      </c>
      <c r="R32" s="23">
        <v>0.0</v>
      </c>
      <c r="S32" s="26">
        <f t="shared" si="3"/>
        <v>5</v>
      </c>
      <c r="T32" s="23">
        <v>4.0</v>
      </c>
      <c r="U32" s="23">
        <v>0.0</v>
      </c>
      <c r="V32" s="23">
        <v>1.0</v>
      </c>
      <c r="W32" s="23">
        <v>0.0</v>
      </c>
      <c r="X32" s="26">
        <f t="shared" si="4"/>
        <v>5</v>
      </c>
    </row>
    <row r="33">
      <c r="A33" s="20" t="s">
        <v>54</v>
      </c>
      <c r="B33" s="21">
        <v>3.0</v>
      </c>
      <c r="C33" s="22">
        <v>1.0</v>
      </c>
      <c r="D33" s="22">
        <v>2.0</v>
      </c>
      <c r="E33" s="22">
        <v>0.0</v>
      </c>
      <c r="F33" s="22">
        <v>0.0</v>
      </c>
      <c r="G33" s="22">
        <v>0.0</v>
      </c>
      <c r="H33" s="22">
        <v>0.0</v>
      </c>
      <c r="I33" s="22">
        <v>0.0</v>
      </c>
      <c r="J33" s="25">
        <f t="shared" si="1"/>
        <v>3</v>
      </c>
      <c r="K33" s="23">
        <v>3.0</v>
      </c>
      <c r="L33" s="23">
        <v>0.0</v>
      </c>
      <c r="M33" s="25">
        <f t="shared" si="2"/>
        <v>3</v>
      </c>
      <c r="N33" s="23">
        <v>0.0</v>
      </c>
      <c r="O33" s="23">
        <v>2.0</v>
      </c>
      <c r="P33" s="23">
        <v>1.0</v>
      </c>
      <c r="Q33" s="23">
        <v>0.0</v>
      </c>
      <c r="R33" s="23">
        <v>0.0</v>
      </c>
      <c r="S33" s="26">
        <f t="shared" si="3"/>
        <v>3</v>
      </c>
      <c r="T33" s="23">
        <v>3.0</v>
      </c>
      <c r="U33" s="23">
        <v>0.0</v>
      </c>
      <c r="V33" s="23">
        <v>0.0</v>
      </c>
      <c r="W33" s="23">
        <v>0.0</v>
      </c>
      <c r="X33" s="26">
        <f t="shared" si="4"/>
        <v>3</v>
      </c>
    </row>
    <row r="34">
      <c r="A34" s="20" t="s">
        <v>55</v>
      </c>
      <c r="B34" s="27">
        <v>21.0</v>
      </c>
      <c r="C34" s="22">
        <v>2.0</v>
      </c>
      <c r="D34" s="22">
        <v>18.0</v>
      </c>
      <c r="E34" s="22">
        <v>0.0</v>
      </c>
      <c r="F34" s="22">
        <v>0.0</v>
      </c>
      <c r="G34" s="22">
        <v>0.0</v>
      </c>
      <c r="H34" s="22">
        <v>1.0</v>
      </c>
      <c r="I34" s="22">
        <v>0.0</v>
      </c>
      <c r="J34" s="25">
        <f t="shared" si="1"/>
        <v>21</v>
      </c>
      <c r="K34" s="23">
        <v>21.0</v>
      </c>
      <c r="L34" s="23">
        <v>0.0</v>
      </c>
      <c r="M34" s="25">
        <f t="shared" si="2"/>
        <v>21</v>
      </c>
      <c r="N34" s="23">
        <v>2.0</v>
      </c>
      <c r="O34" s="23">
        <v>1.0</v>
      </c>
      <c r="P34" s="23">
        <v>17.0</v>
      </c>
      <c r="Q34" s="23">
        <v>1.0</v>
      </c>
      <c r="R34" s="23">
        <v>0.0</v>
      </c>
      <c r="S34" s="26">
        <f t="shared" si="3"/>
        <v>21</v>
      </c>
      <c r="T34" s="23">
        <v>20.0</v>
      </c>
      <c r="U34" s="23">
        <v>0.0</v>
      </c>
      <c r="V34" s="23">
        <v>1.0</v>
      </c>
      <c r="W34" s="23">
        <v>0.0</v>
      </c>
      <c r="X34" s="26">
        <f t="shared" si="4"/>
        <v>21</v>
      </c>
    </row>
    <row r="35">
      <c r="A35" s="20" t="s">
        <v>56</v>
      </c>
      <c r="B35" s="27">
        <v>0.0</v>
      </c>
      <c r="C35" s="22">
        <v>0.0</v>
      </c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4.0</v>
      </c>
      <c r="C36" s="22">
        <v>1.0</v>
      </c>
      <c r="D36" s="22">
        <v>3.0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5">
        <f t="shared" si="1"/>
        <v>4</v>
      </c>
      <c r="K36" s="23">
        <v>4.0</v>
      </c>
      <c r="L36" s="23">
        <v>0.0</v>
      </c>
      <c r="M36" s="25">
        <f t="shared" si="2"/>
        <v>4</v>
      </c>
      <c r="N36" s="23">
        <v>0.0</v>
      </c>
      <c r="O36" s="23">
        <v>1.0</v>
      </c>
      <c r="P36" s="23">
        <v>3.0</v>
      </c>
      <c r="Q36" s="23">
        <v>0.0</v>
      </c>
      <c r="R36" s="23">
        <v>0.0</v>
      </c>
      <c r="S36" s="26">
        <f t="shared" si="3"/>
        <v>4</v>
      </c>
      <c r="T36" s="23">
        <v>4.0</v>
      </c>
      <c r="U36" s="23">
        <v>0.0</v>
      </c>
      <c r="V36" s="23">
        <v>0.0</v>
      </c>
      <c r="W36" s="23">
        <v>0.0</v>
      </c>
      <c r="X36" s="26">
        <f t="shared" si="4"/>
        <v>4</v>
      </c>
    </row>
    <row r="37">
      <c r="A37" s="20" t="s">
        <v>58</v>
      </c>
      <c r="B37" s="21">
        <v>0.0</v>
      </c>
      <c r="C37" s="22">
        <v>0.0</v>
      </c>
      <c r="D37" s="22">
        <v>0.0</v>
      </c>
      <c r="E37" s="22">
        <v>0.0</v>
      </c>
      <c r="F37" s="22">
        <v>0.0</v>
      </c>
      <c r="G37" s="22">
        <v>0.0</v>
      </c>
      <c r="H37" s="22">
        <v>0.0</v>
      </c>
      <c r="I37" s="22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2">
        <v>0.0</v>
      </c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5">
        <f t="shared" si="1"/>
        <v>0</v>
      </c>
      <c r="K38" s="23">
        <v>0.0</v>
      </c>
      <c r="L38" s="23">
        <v>0.0</v>
      </c>
      <c r="M38" s="25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6">
        <f t="shared" si="3"/>
        <v>0</v>
      </c>
      <c r="T38" s="23">
        <v>0.0</v>
      </c>
      <c r="U38" s="23">
        <v>0.0</v>
      </c>
      <c r="V38" s="23">
        <v>0.0</v>
      </c>
      <c r="W38" s="23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/>
      <c r="C39" s="22"/>
      <c r="D39" s="22"/>
      <c r="E39" s="22"/>
      <c r="F39" s="22"/>
      <c r="G39" s="22"/>
      <c r="H39" s="22"/>
      <c r="I39" s="22"/>
      <c r="J39" s="25"/>
      <c r="K39" s="23"/>
      <c r="L39" s="23"/>
      <c r="M39" s="25"/>
      <c r="N39" s="23"/>
      <c r="O39" s="23"/>
      <c r="P39" s="23"/>
      <c r="Q39" s="23"/>
      <c r="R39" s="23"/>
      <c r="S39" s="26"/>
      <c r="T39" s="23"/>
      <c r="U39" s="23"/>
      <c r="V39" s="23"/>
      <c r="W39" s="23"/>
      <c r="X39" s="26"/>
      <c r="Y39" s="30"/>
      <c r="Z39" s="30"/>
    </row>
    <row r="40">
      <c r="A40" s="20" t="s">
        <v>61</v>
      </c>
      <c r="B40" s="28">
        <v>0.0</v>
      </c>
      <c r="C40" s="22">
        <v>0.0</v>
      </c>
      <c r="D40" s="22">
        <v>0.0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5">
        <f t="shared" ref="J40:J65" si="5">sum(C40:I40)</f>
        <v>0</v>
      </c>
      <c r="K40" s="23">
        <v>0.0</v>
      </c>
      <c r="L40" s="23">
        <v>0.0</v>
      </c>
      <c r="M40" s="25">
        <f t="shared" ref="M40:M65" si="6">sum(K40:L40)</f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6">
        <f t="shared" ref="S40:S65" si="7">sum(N40:R40)</f>
        <v>0</v>
      </c>
      <c r="T40" s="23">
        <v>0.0</v>
      </c>
      <c r="U40" s="23">
        <v>0.0</v>
      </c>
      <c r="V40" s="23">
        <v>0.0</v>
      </c>
      <c r="W40" s="23">
        <v>0.0</v>
      </c>
      <c r="X40" s="26">
        <f t="shared" ref="X40:X65" si="8">sum(T40:W40)</f>
        <v>0</v>
      </c>
      <c r="Y40" s="30"/>
      <c r="Z40" s="30"/>
    </row>
    <row r="41">
      <c r="A41" s="20" t="s">
        <v>62</v>
      </c>
      <c r="B41" s="27">
        <v>31.0</v>
      </c>
      <c r="C41" s="22">
        <v>1.0</v>
      </c>
      <c r="D41" s="22">
        <v>29.0</v>
      </c>
      <c r="E41" s="22">
        <v>0.0</v>
      </c>
      <c r="F41" s="22">
        <v>0.0</v>
      </c>
      <c r="G41" s="22">
        <v>0.0</v>
      </c>
      <c r="H41" s="22">
        <v>1.0</v>
      </c>
      <c r="I41" s="22">
        <v>0.0</v>
      </c>
      <c r="J41" s="25">
        <f t="shared" si="5"/>
        <v>31</v>
      </c>
      <c r="K41" s="23">
        <v>31.0</v>
      </c>
      <c r="L41" s="23">
        <v>0.0</v>
      </c>
      <c r="M41" s="25">
        <f t="shared" si="6"/>
        <v>31</v>
      </c>
      <c r="N41" s="23">
        <v>0.0</v>
      </c>
      <c r="O41" s="23">
        <v>2.0</v>
      </c>
      <c r="P41" s="23">
        <v>25.0</v>
      </c>
      <c r="Q41" s="23">
        <v>4.0</v>
      </c>
      <c r="R41" s="23">
        <v>0.0</v>
      </c>
      <c r="S41" s="26">
        <f t="shared" si="7"/>
        <v>31</v>
      </c>
      <c r="T41" s="23">
        <v>18.0</v>
      </c>
      <c r="U41" s="23">
        <v>0.0</v>
      </c>
      <c r="V41" s="23">
        <v>11.0</v>
      </c>
      <c r="W41" s="23">
        <v>2.0</v>
      </c>
      <c r="X41" s="26">
        <f t="shared" si="8"/>
        <v>31</v>
      </c>
    </row>
    <row r="42">
      <c r="A42" s="20" t="s">
        <v>63</v>
      </c>
      <c r="B42" s="27">
        <v>0.0</v>
      </c>
      <c r="C42" s="22">
        <v>0.0</v>
      </c>
      <c r="D42" s="22">
        <v>0.0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5">
        <f t="shared" si="5"/>
        <v>0</v>
      </c>
      <c r="K42" s="23">
        <v>0.0</v>
      </c>
      <c r="L42" s="23">
        <v>0.0</v>
      </c>
      <c r="M42" s="25">
        <f t="shared" si="6"/>
        <v>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6">
        <f t="shared" si="7"/>
        <v>0</v>
      </c>
      <c r="T42" s="23">
        <v>0.0</v>
      </c>
      <c r="U42" s="23">
        <v>0.0</v>
      </c>
      <c r="V42" s="23">
        <v>0.0</v>
      </c>
      <c r="W42" s="23">
        <v>0.0</v>
      </c>
      <c r="X42" s="26">
        <f t="shared" si="8"/>
        <v>0</v>
      </c>
    </row>
    <row r="43">
      <c r="A43" s="20" t="s">
        <v>64</v>
      </c>
      <c r="B43" s="27">
        <v>1.0</v>
      </c>
      <c r="C43" s="22">
        <v>1.0</v>
      </c>
      <c r="D43" s="22">
        <v>0.0</v>
      </c>
      <c r="E43" s="22">
        <v>0.0</v>
      </c>
      <c r="F43" s="22">
        <v>0.0</v>
      </c>
      <c r="G43" s="22">
        <v>0.0</v>
      </c>
      <c r="H43" s="22">
        <v>0.0</v>
      </c>
      <c r="I43" s="22">
        <v>0.0</v>
      </c>
      <c r="J43" s="25">
        <f t="shared" si="5"/>
        <v>1</v>
      </c>
      <c r="K43" s="23">
        <v>1.0</v>
      </c>
      <c r="L43" s="23">
        <v>0.0</v>
      </c>
      <c r="M43" s="25">
        <f t="shared" si="6"/>
        <v>1</v>
      </c>
      <c r="N43" s="23">
        <v>0.0</v>
      </c>
      <c r="O43" s="23">
        <v>0.0</v>
      </c>
      <c r="P43" s="23">
        <v>1.0</v>
      </c>
      <c r="Q43" s="23">
        <v>0.0</v>
      </c>
      <c r="R43" s="23">
        <v>0.0</v>
      </c>
      <c r="S43" s="26">
        <f t="shared" si="7"/>
        <v>1</v>
      </c>
      <c r="T43" s="23">
        <v>1.0</v>
      </c>
      <c r="U43" s="23">
        <v>0.0</v>
      </c>
      <c r="V43" s="23">
        <v>0.0</v>
      </c>
      <c r="W43" s="23">
        <v>0.0</v>
      </c>
      <c r="X43" s="26">
        <f t="shared" si="8"/>
        <v>1</v>
      </c>
    </row>
    <row r="44">
      <c r="A44" s="20" t="s">
        <v>65</v>
      </c>
      <c r="B44" s="27">
        <v>2.0</v>
      </c>
      <c r="C44" s="22">
        <v>0.0</v>
      </c>
      <c r="D44" s="22">
        <v>2.0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5">
        <f t="shared" si="5"/>
        <v>2</v>
      </c>
      <c r="K44" s="23">
        <v>2.0</v>
      </c>
      <c r="L44" s="23">
        <v>0.0</v>
      </c>
      <c r="M44" s="25">
        <f t="shared" si="6"/>
        <v>2</v>
      </c>
      <c r="N44" s="23">
        <v>0.0</v>
      </c>
      <c r="O44" s="23">
        <v>2.0</v>
      </c>
      <c r="P44" s="23">
        <v>0.0</v>
      </c>
      <c r="Q44" s="23">
        <v>0.0</v>
      </c>
      <c r="R44" s="23">
        <v>0.0</v>
      </c>
      <c r="S44" s="26">
        <f t="shared" si="7"/>
        <v>2</v>
      </c>
      <c r="T44" s="23">
        <v>1.0</v>
      </c>
      <c r="U44" s="23">
        <v>0.0</v>
      </c>
      <c r="V44" s="23">
        <v>1.0</v>
      </c>
      <c r="W44" s="23">
        <v>0.0</v>
      </c>
      <c r="X44" s="26">
        <f t="shared" si="8"/>
        <v>2</v>
      </c>
    </row>
    <row r="45">
      <c r="A45" s="20" t="s">
        <v>66</v>
      </c>
      <c r="B45" s="27">
        <v>50.0</v>
      </c>
      <c r="C45" s="22">
        <v>2.0</v>
      </c>
      <c r="D45" s="22">
        <v>37.0</v>
      </c>
      <c r="E45" s="22">
        <v>0.0</v>
      </c>
      <c r="F45" s="22">
        <v>0.0</v>
      </c>
      <c r="G45" s="22">
        <v>0.0</v>
      </c>
      <c r="H45" s="22">
        <v>10.0</v>
      </c>
      <c r="I45" s="22">
        <v>0.0</v>
      </c>
      <c r="J45" s="25">
        <f t="shared" si="5"/>
        <v>49</v>
      </c>
      <c r="K45" s="23">
        <v>44.0</v>
      </c>
      <c r="L45" s="23">
        <v>5.0</v>
      </c>
      <c r="M45" s="25">
        <f t="shared" si="6"/>
        <v>49</v>
      </c>
      <c r="N45" s="23">
        <v>16.0</v>
      </c>
      <c r="O45" s="23">
        <v>29.0</v>
      </c>
      <c r="P45" s="23">
        <v>1.0</v>
      </c>
      <c r="Q45" s="23">
        <v>3.0</v>
      </c>
      <c r="R45" s="23">
        <v>0.0</v>
      </c>
      <c r="S45" s="26">
        <f t="shared" si="7"/>
        <v>49</v>
      </c>
      <c r="T45" s="23">
        <v>36.0</v>
      </c>
      <c r="U45" s="23">
        <v>0.0</v>
      </c>
      <c r="V45" s="23">
        <v>10.0</v>
      </c>
      <c r="W45" s="23">
        <v>3.0</v>
      </c>
      <c r="X45" s="26">
        <f t="shared" si="8"/>
        <v>49</v>
      </c>
    </row>
    <row r="46">
      <c r="A46" s="20" t="s">
        <v>67</v>
      </c>
      <c r="B46" s="27">
        <v>0.0</v>
      </c>
      <c r="C46" s="22">
        <v>0.0</v>
      </c>
      <c r="D46" s="22">
        <v>0.0</v>
      </c>
      <c r="E46" s="22">
        <v>0.0</v>
      </c>
      <c r="F46" s="22">
        <v>0.0</v>
      </c>
      <c r="G46" s="22">
        <v>0.0</v>
      </c>
      <c r="H46" s="22">
        <v>0.0</v>
      </c>
      <c r="I46" s="22">
        <v>0.0</v>
      </c>
      <c r="J46" s="25">
        <f t="shared" si="5"/>
        <v>0</v>
      </c>
      <c r="K46" s="23">
        <v>0.0</v>
      </c>
      <c r="L46" s="23">
        <v>0.0</v>
      </c>
      <c r="M46" s="25">
        <f t="shared" si="6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6">
        <f t="shared" si="7"/>
        <v>0</v>
      </c>
      <c r="T46" s="23">
        <v>0.0</v>
      </c>
      <c r="U46" s="23">
        <v>0.0</v>
      </c>
      <c r="V46" s="23">
        <v>0.0</v>
      </c>
      <c r="W46" s="23">
        <v>0.0</v>
      </c>
      <c r="X46" s="26">
        <f t="shared" si="8"/>
        <v>0</v>
      </c>
    </row>
    <row r="47">
      <c r="A47" s="20" t="s">
        <v>68</v>
      </c>
      <c r="B47" s="27">
        <v>18.0</v>
      </c>
      <c r="C47" s="22">
        <v>1.0</v>
      </c>
      <c r="D47" s="22">
        <v>14.0</v>
      </c>
      <c r="E47" s="22">
        <v>0.0</v>
      </c>
      <c r="F47" s="22">
        <v>0.0</v>
      </c>
      <c r="G47" s="22">
        <v>0.0</v>
      </c>
      <c r="H47" s="22">
        <v>3.0</v>
      </c>
      <c r="I47" s="22">
        <v>0.0</v>
      </c>
      <c r="J47" s="25">
        <f t="shared" si="5"/>
        <v>18</v>
      </c>
      <c r="K47" s="23">
        <v>11.0</v>
      </c>
      <c r="L47" s="23">
        <v>7.0</v>
      </c>
      <c r="M47" s="25">
        <f t="shared" si="6"/>
        <v>18</v>
      </c>
      <c r="N47" s="23">
        <v>18.0</v>
      </c>
      <c r="O47" s="23">
        <v>0.0</v>
      </c>
      <c r="P47" s="23">
        <v>0.0</v>
      </c>
      <c r="Q47" s="23">
        <v>0.0</v>
      </c>
      <c r="R47" s="23">
        <v>0.0</v>
      </c>
      <c r="S47" s="26">
        <f t="shared" si="7"/>
        <v>18</v>
      </c>
      <c r="T47" s="23">
        <v>16.0</v>
      </c>
      <c r="U47" s="23">
        <v>1.0</v>
      </c>
      <c r="V47" s="23">
        <v>1.0</v>
      </c>
      <c r="W47" s="23">
        <v>0.0</v>
      </c>
      <c r="X47" s="26">
        <f t="shared" si="8"/>
        <v>18</v>
      </c>
    </row>
    <row r="48">
      <c r="A48" s="20" t="s">
        <v>69</v>
      </c>
      <c r="B48" s="21">
        <v>0.0</v>
      </c>
      <c r="C48" s="22">
        <v>0.0</v>
      </c>
      <c r="D48" s="22">
        <v>0.0</v>
      </c>
      <c r="E48" s="22">
        <v>0.0</v>
      </c>
      <c r="F48" s="22">
        <v>0.0</v>
      </c>
      <c r="G48" s="22">
        <v>0.0</v>
      </c>
      <c r="H48" s="22">
        <v>0.0</v>
      </c>
      <c r="I48" s="22">
        <v>0.0</v>
      </c>
      <c r="J48" s="25">
        <f t="shared" si="5"/>
        <v>0</v>
      </c>
      <c r="K48" s="23">
        <v>0.0</v>
      </c>
      <c r="L48" s="23">
        <v>0.0</v>
      </c>
      <c r="M48" s="25">
        <f t="shared" si="6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6">
        <f t="shared" si="7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8"/>
        <v>0</v>
      </c>
    </row>
    <row r="49">
      <c r="A49" s="20" t="s">
        <v>70</v>
      </c>
      <c r="B49" s="21">
        <v>3.0</v>
      </c>
      <c r="C49" s="22">
        <v>0.0</v>
      </c>
      <c r="D49" s="22">
        <v>1.0</v>
      </c>
      <c r="E49" s="22">
        <v>0.0</v>
      </c>
      <c r="F49" s="22">
        <v>0.0</v>
      </c>
      <c r="G49" s="22">
        <v>0.0</v>
      </c>
      <c r="H49" s="22">
        <v>2.0</v>
      </c>
      <c r="I49" s="22">
        <v>0.0</v>
      </c>
      <c r="J49" s="25">
        <f t="shared" si="5"/>
        <v>3</v>
      </c>
      <c r="K49" s="23">
        <v>3.0</v>
      </c>
      <c r="L49" s="23">
        <v>0.0</v>
      </c>
      <c r="M49" s="25">
        <f t="shared" si="6"/>
        <v>3</v>
      </c>
      <c r="N49" s="23">
        <v>0.0</v>
      </c>
      <c r="O49" s="23">
        <v>3.0</v>
      </c>
      <c r="P49" s="23">
        <v>0.0</v>
      </c>
      <c r="Q49" s="23">
        <v>0.0</v>
      </c>
      <c r="R49" s="23">
        <v>0.0</v>
      </c>
      <c r="S49" s="26">
        <f t="shared" si="7"/>
        <v>3</v>
      </c>
      <c r="T49" s="23">
        <v>3.0</v>
      </c>
      <c r="U49" s="23">
        <v>0.0</v>
      </c>
      <c r="V49" s="23">
        <v>0.0</v>
      </c>
      <c r="W49" s="23">
        <v>0.0</v>
      </c>
      <c r="X49" s="26">
        <f t="shared" si="8"/>
        <v>3</v>
      </c>
    </row>
    <row r="50">
      <c r="A50" s="20" t="s">
        <v>71</v>
      </c>
      <c r="B50" s="21">
        <v>73.0</v>
      </c>
      <c r="C50" s="22">
        <v>14.0</v>
      </c>
      <c r="D50" s="22">
        <v>51.0</v>
      </c>
      <c r="E50" s="22">
        <v>0.0</v>
      </c>
      <c r="F50" s="22">
        <v>0.0</v>
      </c>
      <c r="G50" s="22">
        <v>0.0</v>
      </c>
      <c r="H50" s="22">
        <v>8.0</v>
      </c>
      <c r="I50" s="22">
        <v>0.0</v>
      </c>
      <c r="J50" s="25">
        <f t="shared" si="5"/>
        <v>73</v>
      </c>
      <c r="K50" s="23">
        <v>72.0</v>
      </c>
      <c r="L50" s="23">
        <v>1.0</v>
      </c>
      <c r="M50" s="25">
        <f t="shared" si="6"/>
        <v>73</v>
      </c>
      <c r="N50" s="23">
        <v>17.0</v>
      </c>
      <c r="O50" s="23">
        <v>53.0</v>
      </c>
      <c r="P50" s="23">
        <v>0.0</v>
      </c>
      <c r="Q50" s="23">
        <v>2.0</v>
      </c>
      <c r="R50" s="23">
        <v>1.0</v>
      </c>
      <c r="S50" s="26">
        <f t="shared" si="7"/>
        <v>73</v>
      </c>
      <c r="T50" s="23">
        <v>60.0</v>
      </c>
      <c r="U50" s="23">
        <v>0.0</v>
      </c>
      <c r="V50" s="23">
        <v>8.0</v>
      </c>
      <c r="W50" s="23">
        <v>5.0</v>
      </c>
      <c r="X50" s="26">
        <f t="shared" si="8"/>
        <v>73</v>
      </c>
    </row>
    <row r="51">
      <c r="A51" s="20" t="s">
        <v>72</v>
      </c>
      <c r="B51" s="21">
        <v>0.0</v>
      </c>
      <c r="C51" s="22">
        <v>0.0</v>
      </c>
      <c r="D51" s="22">
        <v>0.0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5">
        <f t="shared" si="5"/>
        <v>0</v>
      </c>
      <c r="K51" s="23">
        <v>0.0</v>
      </c>
      <c r="L51" s="23">
        <v>0.0</v>
      </c>
      <c r="M51" s="25">
        <f t="shared" si="6"/>
        <v>0</v>
      </c>
      <c r="N51" s="23">
        <v>0.0</v>
      </c>
      <c r="O51" s="23">
        <v>0.0</v>
      </c>
      <c r="P51" s="23">
        <v>0.0</v>
      </c>
      <c r="Q51" s="23">
        <v>0.0</v>
      </c>
      <c r="R51" s="23">
        <v>0.0</v>
      </c>
      <c r="S51" s="26">
        <f t="shared" si="7"/>
        <v>0</v>
      </c>
      <c r="T51" s="23">
        <v>0.0</v>
      </c>
      <c r="U51" s="23">
        <v>0.0</v>
      </c>
      <c r="V51" s="23">
        <v>0.0</v>
      </c>
      <c r="W51" s="23">
        <v>0.0</v>
      </c>
      <c r="X51" s="26">
        <f t="shared" si="8"/>
        <v>0</v>
      </c>
    </row>
    <row r="52">
      <c r="A52" s="20" t="s">
        <v>73</v>
      </c>
      <c r="B52" s="31">
        <v>0.0</v>
      </c>
      <c r="C52" s="22">
        <v>0.0</v>
      </c>
      <c r="D52" s="22">
        <v>0.0</v>
      </c>
      <c r="E52" s="22">
        <v>0.0</v>
      </c>
      <c r="F52" s="22">
        <v>0.0</v>
      </c>
      <c r="G52" s="22">
        <v>0.0</v>
      </c>
      <c r="H52" s="22">
        <v>0.0</v>
      </c>
      <c r="I52" s="22">
        <v>0.0</v>
      </c>
      <c r="J52" s="25">
        <f t="shared" si="5"/>
        <v>0</v>
      </c>
      <c r="K52" s="23">
        <v>0.0</v>
      </c>
      <c r="L52" s="23">
        <v>0.0</v>
      </c>
      <c r="M52" s="25">
        <f t="shared" si="6"/>
        <v>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6">
        <f t="shared" si="7"/>
        <v>0</v>
      </c>
      <c r="T52" s="23">
        <v>0.0</v>
      </c>
      <c r="U52" s="23">
        <v>0.0</v>
      </c>
      <c r="V52" s="23">
        <v>0.0</v>
      </c>
      <c r="W52" s="23">
        <v>0.0</v>
      </c>
      <c r="X52" s="26">
        <f t="shared" si="8"/>
        <v>0</v>
      </c>
    </row>
    <row r="53">
      <c r="A53" s="20" t="s">
        <v>74</v>
      </c>
      <c r="B53" s="31">
        <v>59.0</v>
      </c>
      <c r="C53" s="22">
        <v>0.0</v>
      </c>
      <c r="D53" s="22">
        <v>59.0</v>
      </c>
      <c r="E53" s="22">
        <v>0.0</v>
      </c>
      <c r="F53" s="22">
        <v>0.0</v>
      </c>
      <c r="G53" s="22">
        <v>0.0</v>
      </c>
      <c r="H53" s="22">
        <v>0.0</v>
      </c>
      <c r="I53" s="22">
        <v>0.0</v>
      </c>
      <c r="J53" s="25">
        <f t="shared" si="5"/>
        <v>59</v>
      </c>
      <c r="K53" s="23">
        <v>59.0</v>
      </c>
      <c r="L53" s="23">
        <v>0.0</v>
      </c>
      <c r="M53" s="25">
        <f t="shared" si="6"/>
        <v>59</v>
      </c>
      <c r="N53" s="23">
        <v>52.0</v>
      </c>
      <c r="O53" s="23">
        <v>7.0</v>
      </c>
      <c r="P53" s="23">
        <v>0.0</v>
      </c>
      <c r="Q53" s="23">
        <v>0.0</v>
      </c>
      <c r="R53" s="23">
        <v>0.0</v>
      </c>
      <c r="S53" s="26">
        <f t="shared" si="7"/>
        <v>59</v>
      </c>
      <c r="T53" s="23">
        <v>11.0</v>
      </c>
      <c r="U53" s="23">
        <v>0.0</v>
      </c>
      <c r="V53" s="23">
        <v>46.0</v>
      </c>
      <c r="W53" s="23">
        <v>2.0</v>
      </c>
      <c r="X53" s="26">
        <f t="shared" si="8"/>
        <v>59</v>
      </c>
    </row>
    <row r="54">
      <c r="A54" s="20" t="s">
        <v>75</v>
      </c>
      <c r="B54" s="31">
        <v>7.0</v>
      </c>
      <c r="C54" s="22">
        <v>0.0</v>
      </c>
      <c r="D54" s="22">
        <v>7.0</v>
      </c>
      <c r="E54" s="22">
        <v>0.0</v>
      </c>
      <c r="F54" s="22">
        <v>0.0</v>
      </c>
      <c r="G54" s="22"/>
      <c r="H54" s="22">
        <v>0.0</v>
      </c>
      <c r="I54" s="22">
        <v>0.0</v>
      </c>
      <c r="J54" s="25">
        <f t="shared" si="5"/>
        <v>7</v>
      </c>
      <c r="K54" s="23">
        <v>6.0</v>
      </c>
      <c r="L54" s="23">
        <v>1.0</v>
      </c>
      <c r="M54" s="25">
        <f t="shared" si="6"/>
        <v>7</v>
      </c>
      <c r="N54" s="23">
        <v>1.0</v>
      </c>
      <c r="O54" s="23">
        <v>0.0</v>
      </c>
      <c r="P54" s="23">
        <v>1.0</v>
      </c>
      <c r="Q54" s="23">
        <v>0.0</v>
      </c>
      <c r="R54" s="23">
        <v>5.0</v>
      </c>
      <c r="S54" s="26">
        <f t="shared" si="7"/>
        <v>7</v>
      </c>
      <c r="T54" s="23">
        <v>3.0</v>
      </c>
      <c r="U54" s="23">
        <v>0.0</v>
      </c>
      <c r="V54" s="23">
        <v>3.0</v>
      </c>
      <c r="W54" s="23">
        <v>1.0</v>
      </c>
      <c r="X54" s="26">
        <f t="shared" si="8"/>
        <v>7</v>
      </c>
    </row>
    <row r="55">
      <c r="A55" s="20" t="s">
        <v>76</v>
      </c>
      <c r="B55" s="31">
        <v>0.0</v>
      </c>
      <c r="C55" s="22">
        <v>0.0</v>
      </c>
      <c r="D55" s="22">
        <v>0.0</v>
      </c>
      <c r="E55" s="22">
        <v>0.0</v>
      </c>
      <c r="F55" s="22">
        <v>0.0</v>
      </c>
      <c r="G55" s="22">
        <v>0.0</v>
      </c>
      <c r="H55" s="22">
        <v>0.0</v>
      </c>
      <c r="I55" s="22">
        <v>0.0</v>
      </c>
      <c r="J55" s="25">
        <f t="shared" si="5"/>
        <v>0</v>
      </c>
      <c r="K55" s="23">
        <v>0.0</v>
      </c>
      <c r="L55" s="23">
        <v>0.0</v>
      </c>
      <c r="M55" s="25">
        <f t="shared" si="6"/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6">
        <f t="shared" si="7"/>
        <v>0</v>
      </c>
      <c r="T55" s="23">
        <v>0.0</v>
      </c>
      <c r="U55" s="23">
        <v>0.0</v>
      </c>
      <c r="V55" s="23">
        <v>0.0</v>
      </c>
      <c r="W55" s="23">
        <v>0.0</v>
      </c>
      <c r="X55" s="26">
        <f t="shared" si="8"/>
        <v>0</v>
      </c>
    </row>
    <row r="56">
      <c r="A56" s="20" t="s">
        <v>77</v>
      </c>
      <c r="B56" s="31">
        <v>3.0</v>
      </c>
      <c r="C56" s="22">
        <v>0.0</v>
      </c>
      <c r="D56" s="22">
        <v>1.0</v>
      </c>
      <c r="E56" s="22">
        <v>0.0</v>
      </c>
      <c r="F56" s="22">
        <v>0.0</v>
      </c>
      <c r="G56" s="22">
        <v>0.0</v>
      </c>
      <c r="H56" s="22">
        <v>2.0</v>
      </c>
      <c r="I56" s="22">
        <v>0.0</v>
      </c>
      <c r="J56" s="25">
        <f t="shared" si="5"/>
        <v>3</v>
      </c>
      <c r="K56" s="23">
        <v>3.0</v>
      </c>
      <c r="L56" s="23">
        <v>0.0</v>
      </c>
      <c r="M56" s="25">
        <f t="shared" si="6"/>
        <v>3</v>
      </c>
      <c r="N56" s="23">
        <v>1.0</v>
      </c>
      <c r="O56" s="23">
        <v>2.0</v>
      </c>
      <c r="P56" s="23">
        <v>0.0</v>
      </c>
      <c r="Q56" s="23">
        <v>0.0</v>
      </c>
      <c r="R56" s="23">
        <v>0.0</v>
      </c>
      <c r="S56" s="26">
        <f t="shared" si="7"/>
        <v>3</v>
      </c>
      <c r="T56" s="23">
        <v>3.0</v>
      </c>
      <c r="U56" s="23">
        <v>0.0</v>
      </c>
      <c r="V56" s="23">
        <v>0.0</v>
      </c>
      <c r="W56" s="23">
        <v>0.0</v>
      </c>
      <c r="X56" s="26">
        <f t="shared" si="8"/>
        <v>3</v>
      </c>
    </row>
    <row r="57">
      <c r="A57" s="20" t="s">
        <v>78</v>
      </c>
      <c r="B57" s="34">
        <v>2.0</v>
      </c>
      <c r="C57" s="22">
        <v>0.0</v>
      </c>
      <c r="D57" s="22">
        <v>2.0</v>
      </c>
      <c r="E57" s="22">
        <v>0.0</v>
      </c>
      <c r="F57" s="22">
        <v>0.0</v>
      </c>
      <c r="G57" s="22">
        <v>0.0</v>
      </c>
      <c r="H57" s="22">
        <v>0.0</v>
      </c>
      <c r="I57" s="22">
        <v>0.0</v>
      </c>
      <c r="J57" s="25">
        <f t="shared" si="5"/>
        <v>2</v>
      </c>
      <c r="K57" s="23">
        <v>2.0</v>
      </c>
      <c r="L57" s="23">
        <v>0.0</v>
      </c>
      <c r="M57" s="25">
        <f t="shared" si="6"/>
        <v>2</v>
      </c>
      <c r="N57" s="23">
        <v>0.0</v>
      </c>
      <c r="O57" s="23">
        <v>0.0</v>
      </c>
      <c r="P57" s="23">
        <v>2.0</v>
      </c>
      <c r="Q57" s="23">
        <v>0.0</v>
      </c>
      <c r="R57" s="23">
        <v>0.0</v>
      </c>
      <c r="S57" s="26">
        <f t="shared" si="7"/>
        <v>2</v>
      </c>
      <c r="T57" s="23">
        <v>2.0</v>
      </c>
      <c r="U57" s="23">
        <v>0.0</v>
      </c>
      <c r="V57" s="23">
        <v>0.0</v>
      </c>
      <c r="W57" s="23">
        <v>0.0</v>
      </c>
      <c r="X57" s="26">
        <f t="shared" si="8"/>
        <v>2</v>
      </c>
    </row>
    <row r="58">
      <c r="A58" s="20" t="s">
        <v>79</v>
      </c>
      <c r="B58" s="31">
        <v>0.0</v>
      </c>
      <c r="C58" s="22">
        <v>0.0</v>
      </c>
      <c r="D58" s="22">
        <v>0.0</v>
      </c>
      <c r="E58" s="22">
        <v>0.0</v>
      </c>
      <c r="F58" s="22">
        <v>0.0</v>
      </c>
      <c r="G58" s="22">
        <v>0.0</v>
      </c>
      <c r="H58" s="22">
        <v>0.0</v>
      </c>
      <c r="I58" s="22">
        <v>0.0</v>
      </c>
      <c r="J58" s="25">
        <f t="shared" si="5"/>
        <v>0</v>
      </c>
      <c r="K58" s="23">
        <v>0.0</v>
      </c>
      <c r="L58" s="23">
        <v>0.0</v>
      </c>
      <c r="M58" s="25">
        <f t="shared" si="6"/>
        <v>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6">
        <f t="shared" si="7"/>
        <v>0</v>
      </c>
      <c r="T58" s="23">
        <v>0.0</v>
      </c>
      <c r="U58" s="23">
        <v>0.0</v>
      </c>
      <c r="V58" s="23">
        <v>0.0</v>
      </c>
      <c r="W58" s="23">
        <v>0.0</v>
      </c>
      <c r="X58" s="26">
        <f t="shared" si="8"/>
        <v>0</v>
      </c>
    </row>
    <row r="59">
      <c r="A59" s="20" t="s">
        <v>80</v>
      </c>
      <c r="B59" s="31">
        <v>3.0</v>
      </c>
      <c r="C59" s="22">
        <v>2.0</v>
      </c>
      <c r="D59" s="22">
        <v>1.0</v>
      </c>
      <c r="E59" s="22">
        <v>0.0</v>
      </c>
      <c r="F59" s="22">
        <v>0.0</v>
      </c>
      <c r="G59" s="22">
        <v>0.0</v>
      </c>
      <c r="H59" s="22">
        <v>0.0</v>
      </c>
      <c r="I59" s="22">
        <v>0.0</v>
      </c>
      <c r="J59" s="25">
        <f t="shared" si="5"/>
        <v>3</v>
      </c>
      <c r="K59" s="23">
        <v>2.0</v>
      </c>
      <c r="L59" s="23">
        <v>1.0</v>
      </c>
      <c r="M59" s="25">
        <f t="shared" si="6"/>
        <v>3</v>
      </c>
      <c r="N59" s="23">
        <v>0.0</v>
      </c>
      <c r="O59" s="23">
        <v>3.0</v>
      </c>
      <c r="P59" s="23">
        <v>0.0</v>
      </c>
      <c r="Q59" s="23">
        <v>0.0</v>
      </c>
      <c r="R59" s="23">
        <v>0.0</v>
      </c>
      <c r="S59" s="26">
        <f t="shared" si="7"/>
        <v>3</v>
      </c>
      <c r="T59" s="23">
        <v>3.0</v>
      </c>
      <c r="U59" s="23">
        <v>0.0</v>
      </c>
      <c r="V59" s="23">
        <v>0.0</v>
      </c>
      <c r="W59" s="23">
        <v>0.0</v>
      </c>
      <c r="X59" s="26">
        <f t="shared" si="8"/>
        <v>3</v>
      </c>
    </row>
    <row r="60">
      <c r="A60" s="20" t="s">
        <v>81</v>
      </c>
      <c r="B60" s="31">
        <v>0.0</v>
      </c>
      <c r="C60" s="22">
        <v>0.0</v>
      </c>
      <c r="D60" s="22">
        <v>0.0</v>
      </c>
      <c r="E60" s="22">
        <v>0.0</v>
      </c>
      <c r="F60" s="22">
        <v>0.0</v>
      </c>
      <c r="G60" s="22">
        <v>0.0</v>
      </c>
      <c r="H60" s="22">
        <v>0.0</v>
      </c>
      <c r="I60" s="22">
        <v>0.0</v>
      </c>
      <c r="J60" s="25">
        <f t="shared" si="5"/>
        <v>0</v>
      </c>
      <c r="K60" s="23">
        <v>0.0</v>
      </c>
      <c r="L60" s="23">
        <v>0.0</v>
      </c>
      <c r="M60" s="25">
        <f t="shared" si="6"/>
        <v>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6">
        <f t="shared" si="7"/>
        <v>0</v>
      </c>
      <c r="T60" s="23">
        <v>0.0</v>
      </c>
      <c r="U60" s="23">
        <v>0.0</v>
      </c>
      <c r="V60" s="23">
        <v>0.0</v>
      </c>
      <c r="W60" s="23">
        <v>0.0</v>
      </c>
      <c r="X60" s="26">
        <f t="shared" si="8"/>
        <v>0</v>
      </c>
    </row>
    <row r="61">
      <c r="A61" s="20" t="s">
        <v>82</v>
      </c>
      <c r="B61" s="31">
        <v>10.0</v>
      </c>
      <c r="C61" s="22">
        <v>2.0</v>
      </c>
      <c r="D61" s="22">
        <v>6.0</v>
      </c>
      <c r="E61" s="22">
        <v>0.0</v>
      </c>
      <c r="F61" s="22">
        <v>0.0</v>
      </c>
      <c r="G61" s="22">
        <v>0.0</v>
      </c>
      <c r="H61" s="22">
        <v>2.0</v>
      </c>
      <c r="I61" s="22">
        <v>0.0</v>
      </c>
      <c r="J61" s="25">
        <f t="shared" si="5"/>
        <v>10</v>
      </c>
      <c r="K61" s="23">
        <v>5.0</v>
      </c>
      <c r="L61" s="23">
        <v>5.0</v>
      </c>
      <c r="M61" s="25">
        <f t="shared" si="6"/>
        <v>10</v>
      </c>
      <c r="N61" s="23">
        <v>0.0</v>
      </c>
      <c r="O61" s="23">
        <v>10.0</v>
      </c>
      <c r="P61" s="23">
        <v>0.0</v>
      </c>
      <c r="Q61" s="23">
        <v>0.0</v>
      </c>
      <c r="R61" s="23">
        <v>0.0</v>
      </c>
      <c r="S61" s="26">
        <f t="shared" si="7"/>
        <v>10</v>
      </c>
      <c r="T61" s="23">
        <v>7.0</v>
      </c>
      <c r="U61" s="23">
        <v>0.0</v>
      </c>
      <c r="V61" s="23">
        <v>3.0</v>
      </c>
      <c r="W61" s="23">
        <v>0.0</v>
      </c>
      <c r="X61" s="26">
        <f t="shared" si="8"/>
        <v>10</v>
      </c>
    </row>
    <row r="62">
      <c r="A62" s="20" t="s">
        <v>83</v>
      </c>
      <c r="B62" s="31">
        <v>0.0</v>
      </c>
      <c r="C62" s="22">
        <v>0.0</v>
      </c>
      <c r="D62" s="22">
        <v>0.0</v>
      </c>
      <c r="E62" s="22">
        <v>0.0</v>
      </c>
      <c r="F62" s="22">
        <v>0.0</v>
      </c>
      <c r="G62" s="22">
        <v>0.0</v>
      </c>
      <c r="H62" s="22">
        <v>0.0</v>
      </c>
      <c r="I62" s="22">
        <v>0.0</v>
      </c>
      <c r="J62" s="25">
        <f t="shared" si="5"/>
        <v>0</v>
      </c>
      <c r="K62" s="23">
        <v>0.0</v>
      </c>
      <c r="L62" s="23">
        <v>0.0</v>
      </c>
      <c r="M62" s="25">
        <f t="shared" si="6"/>
        <v>0</v>
      </c>
      <c r="N62" s="23">
        <v>0.0</v>
      </c>
      <c r="O62" s="23">
        <v>0.0</v>
      </c>
      <c r="P62" s="23">
        <v>0.0</v>
      </c>
      <c r="Q62" s="23">
        <v>0.0</v>
      </c>
      <c r="R62" s="23">
        <v>0.0</v>
      </c>
      <c r="S62" s="26">
        <f t="shared" si="7"/>
        <v>0</v>
      </c>
      <c r="T62" s="23">
        <v>0.0</v>
      </c>
      <c r="U62" s="23">
        <v>0.0</v>
      </c>
      <c r="V62" s="23">
        <v>0.0</v>
      </c>
      <c r="W62" s="23">
        <v>0.0</v>
      </c>
      <c r="X62" s="26">
        <f t="shared" si="8"/>
        <v>0</v>
      </c>
    </row>
    <row r="63">
      <c r="A63" s="20" t="s">
        <v>84</v>
      </c>
      <c r="B63" s="31">
        <v>4.0</v>
      </c>
      <c r="C63" s="22">
        <v>0.0</v>
      </c>
      <c r="D63" s="22">
        <v>3.0</v>
      </c>
      <c r="E63" s="22">
        <v>0.0</v>
      </c>
      <c r="F63" s="22">
        <v>0.0</v>
      </c>
      <c r="G63" s="22">
        <v>0.0</v>
      </c>
      <c r="H63" s="22">
        <v>1.0</v>
      </c>
      <c r="I63" s="22">
        <v>0.0</v>
      </c>
      <c r="J63" s="25">
        <f t="shared" si="5"/>
        <v>4</v>
      </c>
      <c r="K63" s="23">
        <v>4.0</v>
      </c>
      <c r="L63" s="23">
        <v>0.0</v>
      </c>
      <c r="M63" s="25">
        <f t="shared" si="6"/>
        <v>4</v>
      </c>
      <c r="N63" s="23">
        <v>3.0</v>
      </c>
      <c r="O63" s="23">
        <v>1.0</v>
      </c>
      <c r="P63" s="23">
        <v>0.0</v>
      </c>
      <c r="Q63" s="23">
        <v>0.0</v>
      </c>
      <c r="R63" s="23">
        <v>0.0</v>
      </c>
      <c r="S63" s="26">
        <f t="shared" si="7"/>
        <v>4</v>
      </c>
      <c r="T63" s="23">
        <v>4.0</v>
      </c>
      <c r="U63" s="23">
        <v>0.0</v>
      </c>
      <c r="V63" s="23">
        <v>0.0</v>
      </c>
      <c r="W63" s="23">
        <v>0.0</v>
      </c>
      <c r="X63" s="26">
        <f t="shared" si="8"/>
        <v>4</v>
      </c>
    </row>
    <row r="64">
      <c r="A64" s="20" t="s">
        <v>85</v>
      </c>
      <c r="B64" s="31">
        <v>0.0</v>
      </c>
      <c r="C64" s="22">
        <v>0.0</v>
      </c>
      <c r="D64" s="22">
        <v>0.0</v>
      </c>
      <c r="E64" s="22">
        <v>0.0</v>
      </c>
      <c r="F64" s="22">
        <v>0.0</v>
      </c>
      <c r="G64" s="22">
        <v>0.0</v>
      </c>
      <c r="H64" s="22">
        <v>0.0</v>
      </c>
      <c r="I64" s="22">
        <v>0.0</v>
      </c>
      <c r="J64" s="25">
        <f t="shared" si="5"/>
        <v>0</v>
      </c>
      <c r="K64" s="23">
        <v>0.0</v>
      </c>
      <c r="L64" s="23">
        <v>0.0</v>
      </c>
      <c r="M64" s="25">
        <f t="shared" si="6"/>
        <v>0</v>
      </c>
      <c r="N64" s="23">
        <v>0.0</v>
      </c>
      <c r="O64" s="23">
        <v>0.0</v>
      </c>
      <c r="P64" s="23">
        <v>0.0</v>
      </c>
      <c r="Q64" s="23">
        <v>0.0</v>
      </c>
      <c r="R64" s="23">
        <v>0.0</v>
      </c>
      <c r="S64" s="26">
        <f t="shared" si="7"/>
        <v>0</v>
      </c>
      <c r="T64" s="23">
        <v>0.0</v>
      </c>
      <c r="U64" s="23">
        <v>0.0</v>
      </c>
      <c r="V64" s="23">
        <v>0.0</v>
      </c>
      <c r="W64" s="23">
        <v>0.0</v>
      </c>
      <c r="X64" s="26">
        <f t="shared" si="8"/>
        <v>0</v>
      </c>
    </row>
    <row r="65">
      <c r="A65" s="20" t="s">
        <v>86</v>
      </c>
      <c r="B65" s="31">
        <v>0.0</v>
      </c>
      <c r="C65" s="22">
        <v>0.0</v>
      </c>
      <c r="D65" s="22">
        <v>0.0</v>
      </c>
      <c r="E65" s="22">
        <v>0.0</v>
      </c>
      <c r="F65" s="22">
        <v>0.0</v>
      </c>
      <c r="G65" s="22">
        <v>0.0</v>
      </c>
      <c r="H65" s="22">
        <v>0.0</v>
      </c>
      <c r="I65" s="22">
        <v>0.0</v>
      </c>
      <c r="J65" s="25">
        <f t="shared" si="5"/>
        <v>0</v>
      </c>
      <c r="K65" s="23">
        <v>0.0</v>
      </c>
      <c r="L65" s="23">
        <v>0.0</v>
      </c>
      <c r="M65" s="25">
        <f t="shared" si="6"/>
        <v>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6">
        <f t="shared" si="7"/>
        <v>0</v>
      </c>
      <c r="T65" s="23">
        <v>0.0</v>
      </c>
      <c r="U65" s="23">
        <v>0.0</v>
      </c>
      <c r="V65" s="23">
        <v>0.0</v>
      </c>
      <c r="W65" s="23">
        <v>0.0</v>
      </c>
      <c r="X65" s="26">
        <f t="shared" si="8"/>
        <v>0</v>
      </c>
    </row>
    <row r="66">
      <c r="A66" s="31" t="s">
        <v>13</v>
      </c>
      <c r="B66" s="35">
        <f t="shared" ref="B66:X66" si="9">SUM(B4:B65)</f>
        <v>678</v>
      </c>
      <c r="C66" s="35">
        <f t="shared" si="9"/>
        <v>51</v>
      </c>
      <c r="D66" s="35">
        <f t="shared" si="9"/>
        <v>533</v>
      </c>
      <c r="E66" s="35">
        <f t="shared" si="9"/>
        <v>2</v>
      </c>
      <c r="F66" s="35">
        <f t="shared" si="9"/>
        <v>0</v>
      </c>
      <c r="G66" s="35">
        <f t="shared" si="9"/>
        <v>0</v>
      </c>
      <c r="H66" s="35">
        <f t="shared" si="9"/>
        <v>91</v>
      </c>
      <c r="I66" s="35">
        <f t="shared" si="9"/>
        <v>0</v>
      </c>
      <c r="J66" s="35">
        <f t="shared" si="9"/>
        <v>677</v>
      </c>
      <c r="K66" s="35">
        <f t="shared" si="9"/>
        <v>626</v>
      </c>
      <c r="L66" s="35">
        <f t="shared" si="9"/>
        <v>51</v>
      </c>
      <c r="M66" s="35">
        <f t="shared" si="9"/>
        <v>677</v>
      </c>
      <c r="N66" s="35">
        <f t="shared" si="9"/>
        <v>209</v>
      </c>
      <c r="O66" s="35">
        <f t="shared" si="9"/>
        <v>302</v>
      </c>
      <c r="P66" s="35">
        <f t="shared" si="9"/>
        <v>122</v>
      </c>
      <c r="Q66" s="35">
        <f t="shared" si="9"/>
        <v>36</v>
      </c>
      <c r="R66" s="35">
        <f t="shared" si="9"/>
        <v>8</v>
      </c>
      <c r="S66" s="35">
        <f t="shared" si="9"/>
        <v>677</v>
      </c>
      <c r="T66" s="35">
        <f t="shared" si="9"/>
        <v>515</v>
      </c>
      <c r="U66" s="35">
        <f t="shared" si="9"/>
        <v>7</v>
      </c>
      <c r="V66" s="35">
        <f t="shared" si="9"/>
        <v>125</v>
      </c>
      <c r="W66" s="35">
        <f t="shared" si="9"/>
        <v>30</v>
      </c>
      <c r="X66" s="35">
        <f t="shared" si="9"/>
        <v>677</v>
      </c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75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33.0</v>
      </c>
      <c r="C4" s="22">
        <v>0.0</v>
      </c>
      <c r="D4" s="22">
        <v>27.0</v>
      </c>
      <c r="E4" s="22">
        <v>0.0</v>
      </c>
      <c r="F4" s="22">
        <v>0.0</v>
      </c>
      <c r="G4" s="22">
        <v>0.0</v>
      </c>
      <c r="H4" s="22">
        <v>6.0</v>
      </c>
      <c r="I4" s="22">
        <v>0.0</v>
      </c>
      <c r="J4" s="25">
        <f t="shared" ref="J4:J38" si="1">sum(C4:I4)</f>
        <v>33</v>
      </c>
      <c r="K4" s="23">
        <v>26.0</v>
      </c>
      <c r="L4" s="23">
        <v>7.0</v>
      </c>
      <c r="M4" s="25">
        <f t="shared" ref="M4:M38" si="2">sum(K4:L4)</f>
        <v>33</v>
      </c>
      <c r="N4" s="23">
        <v>17.0</v>
      </c>
      <c r="O4" s="23">
        <v>8.0</v>
      </c>
      <c r="P4" s="23">
        <v>8.0</v>
      </c>
      <c r="Q4" s="23">
        <v>0.0</v>
      </c>
      <c r="R4" s="23">
        <v>0.0</v>
      </c>
      <c r="S4" s="26">
        <f t="shared" ref="S4:S38" si="3">sum(N4:R4)</f>
        <v>33</v>
      </c>
      <c r="T4" s="23">
        <v>23.0</v>
      </c>
      <c r="U4" s="23">
        <v>3.0</v>
      </c>
      <c r="V4" s="23">
        <v>4.0</v>
      </c>
      <c r="W4" s="23">
        <v>3.0</v>
      </c>
      <c r="X4" s="26">
        <f t="shared" ref="X4:X38" si="4">sum(T4:W4)</f>
        <v>33</v>
      </c>
    </row>
    <row r="5">
      <c r="A5" s="20" t="s">
        <v>26</v>
      </c>
      <c r="B5" s="21">
        <v>0.0</v>
      </c>
      <c r="C5" s="22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5">
        <f t="shared" si="1"/>
        <v>0</v>
      </c>
      <c r="K5" s="23">
        <v>0.0</v>
      </c>
      <c r="L5" s="23">
        <v>0.0</v>
      </c>
      <c r="M5" s="25">
        <f t="shared" si="2"/>
        <v>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6">
        <f t="shared" si="3"/>
        <v>0</v>
      </c>
      <c r="T5" s="23">
        <v>0.0</v>
      </c>
      <c r="U5" s="23">
        <v>0.0</v>
      </c>
      <c r="V5" s="23">
        <v>0.0</v>
      </c>
      <c r="W5" s="23">
        <v>0.0</v>
      </c>
      <c r="X5" s="26">
        <f t="shared" si="4"/>
        <v>0</v>
      </c>
    </row>
    <row r="6">
      <c r="A6" s="20" t="s">
        <v>27</v>
      </c>
      <c r="B6" s="21">
        <v>5.0</v>
      </c>
      <c r="C6" s="22">
        <v>0.0</v>
      </c>
      <c r="D6" s="22">
        <v>5.0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5">
        <f t="shared" si="1"/>
        <v>5</v>
      </c>
      <c r="K6" s="23">
        <v>5.0</v>
      </c>
      <c r="L6" s="23">
        <v>0.0</v>
      </c>
      <c r="M6" s="25">
        <f t="shared" si="2"/>
        <v>5</v>
      </c>
      <c r="N6" s="23">
        <v>2.0</v>
      </c>
      <c r="O6" s="23">
        <v>3.0</v>
      </c>
      <c r="P6" s="23">
        <v>0.0</v>
      </c>
      <c r="Q6" s="23">
        <v>0.0</v>
      </c>
      <c r="R6" s="23">
        <v>0.0</v>
      </c>
      <c r="S6" s="26">
        <f t="shared" si="3"/>
        <v>5</v>
      </c>
      <c r="T6" s="23">
        <v>2.0</v>
      </c>
      <c r="U6" s="23">
        <v>0.0</v>
      </c>
      <c r="V6" s="23">
        <v>3.0</v>
      </c>
      <c r="W6" s="23">
        <v>0.0</v>
      </c>
      <c r="X6" s="26">
        <f t="shared" si="4"/>
        <v>5</v>
      </c>
    </row>
    <row r="7">
      <c r="A7" s="20" t="s">
        <v>28</v>
      </c>
      <c r="B7" s="21">
        <v>17.0</v>
      </c>
      <c r="C7" s="22">
        <v>2.0</v>
      </c>
      <c r="D7" s="22">
        <v>14.0</v>
      </c>
      <c r="E7" s="22">
        <v>0.0</v>
      </c>
      <c r="F7" s="22">
        <v>0.0</v>
      </c>
      <c r="G7" s="22">
        <v>0.0</v>
      </c>
      <c r="H7" s="22">
        <v>1.0</v>
      </c>
      <c r="I7" s="22">
        <v>0.0</v>
      </c>
      <c r="J7" s="25">
        <f t="shared" si="1"/>
        <v>17</v>
      </c>
      <c r="K7" s="23">
        <v>16.0</v>
      </c>
      <c r="L7" s="23">
        <v>1.0</v>
      </c>
      <c r="M7" s="25">
        <f t="shared" si="2"/>
        <v>17</v>
      </c>
      <c r="N7" s="23">
        <v>1.0</v>
      </c>
      <c r="O7" s="23">
        <v>6.0</v>
      </c>
      <c r="P7" s="23">
        <v>4.0</v>
      </c>
      <c r="Q7" s="23">
        <v>6.0</v>
      </c>
      <c r="R7" s="23">
        <v>0.0</v>
      </c>
      <c r="S7" s="26">
        <f t="shared" si="3"/>
        <v>17</v>
      </c>
      <c r="T7" s="23">
        <v>9.0</v>
      </c>
      <c r="U7" s="23">
        <v>0.0</v>
      </c>
      <c r="V7" s="23">
        <v>7.0</v>
      </c>
      <c r="W7" s="23">
        <v>1.0</v>
      </c>
      <c r="X7" s="26">
        <f t="shared" si="4"/>
        <v>17</v>
      </c>
    </row>
    <row r="8">
      <c r="A8" s="20" t="s">
        <v>29</v>
      </c>
      <c r="B8" s="21">
        <v>21.0</v>
      </c>
      <c r="C8" s="22">
        <v>0.0</v>
      </c>
      <c r="D8" s="22">
        <v>16.0</v>
      </c>
      <c r="E8" s="22">
        <v>0.0</v>
      </c>
      <c r="F8" s="22">
        <v>0.0</v>
      </c>
      <c r="G8" s="22">
        <v>0.0</v>
      </c>
      <c r="H8" s="22">
        <v>5.0</v>
      </c>
      <c r="I8" s="22">
        <v>0.0</v>
      </c>
      <c r="J8" s="25">
        <f t="shared" si="1"/>
        <v>21</v>
      </c>
      <c r="K8" s="23">
        <v>14.0</v>
      </c>
      <c r="L8" s="23">
        <v>7.0</v>
      </c>
      <c r="M8" s="25">
        <f t="shared" si="2"/>
        <v>21</v>
      </c>
      <c r="N8" s="23">
        <v>19.0</v>
      </c>
      <c r="O8" s="23">
        <v>2.0</v>
      </c>
      <c r="P8" s="23">
        <v>0.0</v>
      </c>
      <c r="Q8" s="23">
        <v>0.0</v>
      </c>
      <c r="R8" s="23">
        <v>0.0</v>
      </c>
      <c r="S8" s="26">
        <f t="shared" si="3"/>
        <v>21</v>
      </c>
      <c r="T8" s="23">
        <v>19.0</v>
      </c>
      <c r="U8" s="23">
        <v>1.0</v>
      </c>
      <c r="V8" s="23">
        <v>1.0</v>
      </c>
      <c r="W8" s="23">
        <v>0.0</v>
      </c>
      <c r="X8" s="26">
        <f t="shared" si="4"/>
        <v>21</v>
      </c>
    </row>
    <row r="9">
      <c r="A9" s="20" t="s">
        <v>30</v>
      </c>
      <c r="B9" s="21">
        <v>24.0</v>
      </c>
      <c r="C9" s="22">
        <v>0.0</v>
      </c>
      <c r="D9" s="22">
        <v>23.0</v>
      </c>
      <c r="E9" s="22">
        <v>0.0</v>
      </c>
      <c r="F9" s="22">
        <v>0.0</v>
      </c>
      <c r="G9" s="22">
        <v>1.0</v>
      </c>
      <c r="H9" s="22">
        <v>0.0</v>
      </c>
      <c r="I9" s="22">
        <v>0.0</v>
      </c>
      <c r="J9" s="25">
        <f t="shared" si="1"/>
        <v>24</v>
      </c>
      <c r="K9" s="23">
        <v>24.0</v>
      </c>
      <c r="L9" s="23">
        <v>0.0</v>
      </c>
      <c r="M9" s="25">
        <f t="shared" si="2"/>
        <v>24</v>
      </c>
      <c r="N9" s="23">
        <v>0.0</v>
      </c>
      <c r="O9" s="23">
        <v>19.0</v>
      </c>
      <c r="P9" s="23">
        <v>0.0</v>
      </c>
      <c r="Q9" s="23">
        <v>5.0</v>
      </c>
      <c r="R9" s="23">
        <v>0.0</v>
      </c>
      <c r="S9" s="26">
        <f t="shared" si="3"/>
        <v>24</v>
      </c>
      <c r="T9" s="23">
        <v>18.0</v>
      </c>
      <c r="U9" s="23">
        <v>0.0</v>
      </c>
      <c r="V9" s="23">
        <v>5.0</v>
      </c>
      <c r="W9" s="23">
        <v>1.0</v>
      </c>
      <c r="X9" s="26">
        <f t="shared" si="4"/>
        <v>24</v>
      </c>
    </row>
    <row r="10">
      <c r="A10" s="20" t="s">
        <v>31</v>
      </c>
      <c r="B10" s="21">
        <v>0.0</v>
      </c>
      <c r="C10" s="22">
        <v>0.0</v>
      </c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5">
        <f t="shared" si="1"/>
        <v>0</v>
      </c>
      <c r="K10" s="23">
        <v>0.0</v>
      </c>
      <c r="L10" s="23">
        <v>0.0</v>
      </c>
      <c r="M10" s="25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6">
        <f t="shared" si="3"/>
        <v>0</v>
      </c>
      <c r="T10" s="23">
        <v>0.0</v>
      </c>
      <c r="U10" s="23">
        <v>0.0</v>
      </c>
      <c r="V10" s="23">
        <v>0.0</v>
      </c>
      <c r="W10" s="23">
        <v>0.0</v>
      </c>
      <c r="X10" s="26">
        <f t="shared" si="4"/>
        <v>0</v>
      </c>
    </row>
    <row r="11">
      <c r="A11" s="20" t="s">
        <v>32</v>
      </c>
      <c r="B11" s="21">
        <v>0.0</v>
      </c>
      <c r="C11" s="22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104.0</v>
      </c>
      <c r="C12" s="22">
        <v>2.0</v>
      </c>
      <c r="D12" s="22">
        <v>79.0</v>
      </c>
      <c r="E12" s="22">
        <v>0.0</v>
      </c>
      <c r="F12" s="22">
        <v>0.0</v>
      </c>
      <c r="G12" s="22">
        <v>0.0</v>
      </c>
      <c r="H12" s="22">
        <v>23.0</v>
      </c>
      <c r="I12" s="22">
        <v>0.0</v>
      </c>
      <c r="J12" s="25">
        <f t="shared" si="1"/>
        <v>104</v>
      </c>
      <c r="K12" s="23">
        <v>104.0</v>
      </c>
      <c r="L12" s="23">
        <v>0.0</v>
      </c>
      <c r="M12" s="25">
        <f t="shared" si="2"/>
        <v>104</v>
      </c>
      <c r="N12" s="23">
        <v>64.0</v>
      </c>
      <c r="O12" s="23">
        <v>9.0</v>
      </c>
      <c r="P12" s="23">
        <v>31.0</v>
      </c>
      <c r="Q12" s="23">
        <v>0.0</v>
      </c>
      <c r="R12" s="23">
        <v>0.0</v>
      </c>
      <c r="S12" s="26">
        <f t="shared" si="3"/>
        <v>104</v>
      </c>
      <c r="T12" s="23">
        <v>95.0</v>
      </c>
      <c r="U12" s="23">
        <v>0.0</v>
      </c>
      <c r="V12" s="23">
        <v>6.0</v>
      </c>
      <c r="W12" s="23">
        <v>3.0</v>
      </c>
      <c r="X12" s="26">
        <f t="shared" si="4"/>
        <v>104</v>
      </c>
    </row>
    <row r="13">
      <c r="A13" s="20" t="s">
        <v>34</v>
      </c>
      <c r="B13" s="21">
        <v>59.0</v>
      </c>
      <c r="C13" s="22">
        <v>1.0</v>
      </c>
      <c r="D13" s="22">
        <v>42.0</v>
      </c>
      <c r="E13" s="22">
        <v>0.0</v>
      </c>
      <c r="F13" s="22">
        <v>0.0</v>
      </c>
      <c r="G13" s="22">
        <v>0.0</v>
      </c>
      <c r="H13" s="22">
        <v>16.0</v>
      </c>
      <c r="I13" s="22">
        <v>0.0</v>
      </c>
      <c r="J13" s="25">
        <f t="shared" si="1"/>
        <v>59</v>
      </c>
      <c r="K13" s="23">
        <v>59.0</v>
      </c>
      <c r="L13" s="23">
        <v>0.0</v>
      </c>
      <c r="M13" s="25">
        <f t="shared" si="2"/>
        <v>59</v>
      </c>
      <c r="N13" s="23">
        <v>0.0</v>
      </c>
      <c r="O13" s="23">
        <v>40.0</v>
      </c>
      <c r="P13" s="23">
        <v>13.0</v>
      </c>
      <c r="Q13" s="23">
        <v>6.0</v>
      </c>
      <c r="R13" s="23">
        <v>0.0</v>
      </c>
      <c r="S13" s="26">
        <f t="shared" si="3"/>
        <v>59</v>
      </c>
      <c r="T13" s="23">
        <v>45.0</v>
      </c>
      <c r="U13" s="23">
        <v>0.0</v>
      </c>
      <c r="V13" s="23">
        <v>10.0</v>
      </c>
      <c r="W13" s="23">
        <v>4.0</v>
      </c>
      <c r="X13" s="26">
        <f t="shared" si="4"/>
        <v>59</v>
      </c>
    </row>
    <row r="14">
      <c r="A14" s="20" t="s">
        <v>35</v>
      </c>
      <c r="B14" s="27">
        <v>42.0</v>
      </c>
      <c r="C14" s="22">
        <v>1.0</v>
      </c>
      <c r="D14" s="22">
        <v>40.0</v>
      </c>
      <c r="E14" s="22">
        <v>0.0</v>
      </c>
      <c r="F14" s="22">
        <v>0.0</v>
      </c>
      <c r="G14" s="22">
        <v>0.0</v>
      </c>
      <c r="H14" s="22">
        <v>1.0</v>
      </c>
      <c r="I14" s="22">
        <v>0.0</v>
      </c>
      <c r="J14" s="25">
        <f t="shared" si="1"/>
        <v>42</v>
      </c>
      <c r="K14" s="23">
        <v>39.0</v>
      </c>
      <c r="L14" s="23">
        <v>3.0</v>
      </c>
      <c r="M14" s="25">
        <f t="shared" si="2"/>
        <v>42</v>
      </c>
      <c r="N14" s="23">
        <v>30.0</v>
      </c>
      <c r="O14" s="23">
        <v>7.0</v>
      </c>
      <c r="P14" s="23">
        <v>5.0</v>
      </c>
      <c r="Q14" s="23">
        <v>0.0</v>
      </c>
      <c r="R14" s="23">
        <v>0.0</v>
      </c>
      <c r="S14" s="26">
        <f t="shared" si="3"/>
        <v>42</v>
      </c>
      <c r="T14" s="23">
        <v>34.0</v>
      </c>
      <c r="U14" s="23">
        <v>0.0</v>
      </c>
      <c r="V14" s="23">
        <v>6.0</v>
      </c>
      <c r="W14" s="23">
        <v>2.0</v>
      </c>
      <c r="X14" s="26">
        <f t="shared" si="4"/>
        <v>42</v>
      </c>
    </row>
    <row r="15">
      <c r="A15" s="20" t="s">
        <v>36</v>
      </c>
      <c r="B15" s="21">
        <v>0.0</v>
      </c>
      <c r="C15" s="22">
        <v>0.0</v>
      </c>
      <c r="D15" s="22">
        <v>0.0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5">
        <f t="shared" si="1"/>
        <v>0</v>
      </c>
      <c r="K15" s="23">
        <v>0.0</v>
      </c>
      <c r="L15" s="23">
        <v>0.0</v>
      </c>
      <c r="M15" s="25">
        <f t="shared" si="2"/>
        <v>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6">
        <f t="shared" si="3"/>
        <v>0</v>
      </c>
      <c r="T15" s="23">
        <v>0.0</v>
      </c>
      <c r="U15" s="23">
        <v>0.0</v>
      </c>
      <c r="V15" s="23">
        <v>0.0</v>
      </c>
      <c r="W15" s="23">
        <v>0.0</v>
      </c>
      <c r="X15" s="26">
        <f t="shared" si="4"/>
        <v>0</v>
      </c>
    </row>
    <row r="16">
      <c r="A16" s="20" t="s">
        <v>37</v>
      </c>
      <c r="B16" s="21">
        <v>9.0</v>
      </c>
      <c r="C16" s="22">
        <v>1.0</v>
      </c>
      <c r="D16" s="22">
        <v>8.0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5">
        <f t="shared" si="1"/>
        <v>9</v>
      </c>
      <c r="K16" s="23">
        <v>9.0</v>
      </c>
      <c r="L16" s="23">
        <v>0.0</v>
      </c>
      <c r="M16" s="25">
        <f t="shared" si="2"/>
        <v>9</v>
      </c>
      <c r="N16" s="23">
        <v>1.0</v>
      </c>
      <c r="O16" s="23">
        <v>0.0</v>
      </c>
      <c r="P16" s="23">
        <v>8.0</v>
      </c>
      <c r="Q16" s="23">
        <v>0.0</v>
      </c>
      <c r="R16" s="23">
        <v>0.0</v>
      </c>
      <c r="S16" s="26">
        <f t="shared" si="3"/>
        <v>9</v>
      </c>
      <c r="T16" s="23">
        <v>6.0</v>
      </c>
      <c r="U16" s="23">
        <v>1.0</v>
      </c>
      <c r="V16" s="23">
        <v>1.0</v>
      </c>
      <c r="W16" s="23">
        <v>1.0</v>
      </c>
      <c r="X16" s="26">
        <f t="shared" si="4"/>
        <v>9</v>
      </c>
    </row>
    <row r="17">
      <c r="A17" s="20" t="s">
        <v>38</v>
      </c>
      <c r="B17" s="21">
        <v>15.0</v>
      </c>
      <c r="C17" s="22">
        <v>3.0</v>
      </c>
      <c r="D17" s="22">
        <v>8.0</v>
      </c>
      <c r="E17" s="22">
        <v>0.0</v>
      </c>
      <c r="F17" s="22">
        <v>2.0</v>
      </c>
      <c r="G17" s="22">
        <v>0.0</v>
      </c>
      <c r="H17" s="22">
        <v>2.0</v>
      </c>
      <c r="I17" s="22">
        <v>0.0</v>
      </c>
      <c r="J17" s="25">
        <f t="shared" si="1"/>
        <v>15</v>
      </c>
      <c r="K17" s="23">
        <v>15.0</v>
      </c>
      <c r="L17" s="23">
        <v>0.0</v>
      </c>
      <c r="M17" s="25">
        <f t="shared" si="2"/>
        <v>15</v>
      </c>
      <c r="N17" s="23">
        <v>0.0</v>
      </c>
      <c r="O17" s="23">
        <v>3.0</v>
      </c>
      <c r="P17" s="23">
        <v>7.0</v>
      </c>
      <c r="Q17" s="23">
        <v>5.0</v>
      </c>
      <c r="R17" s="23">
        <v>0.0</v>
      </c>
      <c r="S17" s="26">
        <f t="shared" si="3"/>
        <v>15</v>
      </c>
      <c r="T17" s="23">
        <v>12.0</v>
      </c>
      <c r="U17" s="23">
        <v>0.0</v>
      </c>
      <c r="V17" s="23">
        <v>3.0</v>
      </c>
      <c r="W17" s="23">
        <v>0.0</v>
      </c>
      <c r="X17" s="26">
        <f t="shared" si="4"/>
        <v>15</v>
      </c>
    </row>
    <row r="18">
      <c r="A18" s="20" t="s">
        <v>39</v>
      </c>
      <c r="B18" s="27">
        <v>67.0</v>
      </c>
      <c r="C18" s="22">
        <v>2.0</v>
      </c>
      <c r="D18" s="22">
        <v>58.0</v>
      </c>
      <c r="E18" s="22">
        <v>0.0</v>
      </c>
      <c r="F18" s="22">
        <v>0.0</v>
      </c>
      <c r="G18" s="22">
        <v>0.0</v>
      </c>
      <c r="H18" s="22">
        <v>6.0</v>
      </c>
      <c r="I18" s="22">
        <v>1.0</v>
      </c>
      <c r="J18" s="25">
        <f t="shared" si="1"/>
        <v>67</v>
      </c>
      <c r="K18" s="23">
        <v>61.0</v>
      </c>
      <c r="L18" s="23">
        <v>6.0</v>
      </c>
      <c r="M18" s="25">
        <f t="shared" si="2"/>
        <v>67</v>
      </c>
      <c r="N18" s="23">
        <v>26.0</v>
      </c>
      <c r="O18" s="23">
        <v>31.0</v>
      </c>
      <c r="P18" s="23">
        <v>8.0</v>
      </c>
      <c r="Q18" s="23">
        <v>1.0</v>
      </c>
      <c r="R18" s="23">
        <v>1.0</v>
      </c>
      <c r="S18" s="26">
        <f t="shared" si="3"/>
        <v>67</v>
      </c>
      <c r="T18" s="23">
        <v>57.0</v>
      </c>
      <c r="U18" s="23">
        <v>3.0</v>
      </c>
      <c r="V18" s="23">
        <v>4.0</v>
      </c>
      <c r="W18" s="23">
        <v>3.0</v>
      </c>
      <c r="X18" s="26">
        <f t="shared" si="4"/>
        <v>67</v>
      </c>
    </row>
    <row r="19">
      <c r="A19" s="20" t="s">
        <v>40</v>
      </c>
      <c r="B19" s="27">
        <v>0.0</v>
      </c>
      <c r="C19" s="22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5">
        <f t="shared" si="1"/>
        <v>0</v>
      </c>
      <c r="K19" s="23">
        <v>0.0</v>
      </c>
      <c r="L19" s="23">
        <v>0.0</v>
      </c>
      <c r="M19" s="25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0</v>
      </c>
      <c r="T19" s="23">
        <v>0.0</v>
      </c>
      <c r="U19" s="23">
        <v>0.0</v>
      </c>
      <c r="V19" s="23">
        <v>0.0</v>
      </c>
      <c r="W19" s="23">
        <v>0.0</v>
      </c>
      <c r="X19" s="26">
        <f t="shared" si="4"/>
        <v>0</v>
      </c>
    </row>
    <row r="20">
      <c r="A20" s="20" t="s">
        <v>41</v>
      </c>
      <c r="B20" s="21">
        <v>1.0</v>
      </c>
      <c r="C20" s="22">
        <v>0.0</v>
      </c>
      <c r="D20" s="22">
        <v>1.0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5">
        <f t="shared" si="1"/>
        <v>1</v>
      </c>
      <c r="K20" s="23">
        <v>1.0</v>
      </c>
      <c r="L20" s="23">
        <v>0.0</v>
      </c>
      <c r="M20" s="25">
        <f t="shared" si="2"/>
        <v>1</v>
      </c>
      <c r="N20" s="23">
        <v>1.0</v>
      </c>
      <c r="O20" s="23">
        <v>0.0</v>
      </c>
      <c r="P20" s="23">
        <v>0.0</v>
      </c>
      <c r="Q20" s="23">
        <v>0.0</v>
      </c>
      <c r="R20" s="23">
        <v>0.0</v>
      </c>
      <c r="S20" s="26">
        <f t="shared" si="3"/>
        <v>1</v>
      </c>
      <c r="T20" s="23">
        <v>1.0</v>
      </c>
      <c r="U20" s="23">
        <v>0.0</v>
      </c>
      <c r="V20" s="23">
        <v>0.0</v>
      </c>
      <c r="W20" s="23">
        <v>0.0</v>
      </c>
      <c r="X20" s="26">
        <f t="shared" si="4"/>
        <v>1</v>
      </c>
    </row>
    <row r="21">
      <c r="A21" s="20" t="s">
        <v>42</v>
      </c>
      <c r="B21" s="27">
        <v>7.0</v>
      </c>
      <c r="C21" s="22">
        <v>0.0</v>
      </c>
      <c r="D21" s="22">
        <v>7.0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5">
        <f t="shared" si="1"/>
        <v>7</v>
      </c>
      <c r="K21" s="23">
        <v>7.0</v>
      </c>
      <c r="L21" s="23">
        <v>0.0</v>
      </c>
      <c r="M21" s="25">
        <f t="shared" si="2"/>
        <v>7</v>
      </c>
      <c r="N21" s="23">
        <v>2.0</v>
      </c>
      <c r="O21" s="23">
        <v>2.0</v>
      </c>
      <c r="P21" s="23">
        <v>3.0</v>
      </c>
      <c r="Q21" s="23">
        <v>0.0</v>
      </c>
      <c r="R21" s="23">
        <v>0.0</v>
      </c>
      <c r="S21" s="26">
        <f t="shared" si="3"/>
        <v>7</v>
      </c>
      <c r="T21" s="23">
        <v>5.0</v>
      </c>
      <c r="U21" s="23">
        <v>0.0</v>
      </c>
      <c r="V21" s="23">
        <v>2.0</v>
      </c>
      <c r="W21" s="23">
        <v>0.0</v>
      </c>
      <c r="X21" s="26">
        <f t="shared" si="4"/>
        <v>7</v>
      </c>
    </row>
    <row r="22">
      <c r="A22" s="20" t="s">
        <v>43</v>
      </c>
      <c r="B22" s="27">
        <v>76.0</v>
      </c>
      <c r="C22" s="22">
        <v>4.0</v>
      </c>
      <c r="D22" s="22">
        <v>64.0</v>
      </c>
      <c r="E22" s="22">
        <v>0.0</v>
      </c>
      <c r="F22" s="22">
        <v>0.0</v>
      </c>
      <c r="G22" s="22">
        <v>0.0</v>
      </c>
      <c r="H22" s="22">
        <v>8.0</v>
      </c>
      <c r="I22" s="22">
        <v>0.0</v>
      </c>
      <c r="J22" s="25">
        <f t="shared" si="1"/>
        <v>76</v>
      </c>
      <c r="K22" s="23">
        <v>76.0</v>
      </c>
      <c r="L22" s="23">
        <v>0.0</v>
      </c>
      <c r="M22" s="25">
        <f t="shared" si="2"/>
        <v>76</v>
      </c>
      <c r="N22" s="23">
        <v>34.0</v>
      </c>
      <c r="O22" s="23">
        <v>32.0</v>
      </c>
      <c r="P22" s="23">
        <v>7.0</v>
      </c>
      <c r="Q22" s="23">
        <v>1.0</v>
      </c>
      <c r="R22" s="23">
        <v>2.0</v>
      </c>
      <c r="S22" s="26">
        <f t="shared" si="3"/>
        <v>76</v>
      </c>
      <c r="T22" s="23">
        <v>73.0</v>
      </c>
      <c r="U22" s="23">
        <v>0.0</v>
      </c>
      <c r="V22" s="23">
        <v>1.0</v>
      </c>
      <c r="W22" s="23">
        <v>2.0</v>
      </c>
      <c r="X22" s="26">
        <f t="shared" si="4"/>
        <v>76</v>
      </c>
    </row>
    <row r="23">
      <c r="A23" s="20" t="s">
        <v>44</v>
      </c>
      <c r="B23" s="27">
        <v>17.0</v>
      </c>
      <c r="C23" s="22">
        <v>1.0</v>
      </c>
      <c r="D23" s="22">
        <v>13.0</v>
      </c>
      <c r="E23" s="22">
        <v>0.0</v>
      </c>
      <c r="F23" s="22">
        <v>0.0</v>
      </c>
      <c r="G23" s="22">
        <v>0.0</v>
      </c>
      <c r="H23" s="22">
        <v>3.0</v>
      </c>
      <c r="I23" s="22">
        <v>0.0</v>
      </c>
      <c r="J23" s="25">
        <f t="shared" si="1"/>
        <v>17</v>
      </c>
      <c r="K23" s="23">
        <v>17.0</v>
      </c>
      <c r="L23" s="23">
        <v>0.0</v>
      </c>
      <c r="M23" s="25">
        <f t="shared" si="2"/>
        <v>17</v>
      </c>
      <c r="N23" s="23">
        <v>13.0</v>
      </c>
      <c r="O23" s="23">
        <v>1.0</v>
      </c>
      <c r="P23" s="23">
        <v>3.0</v>
      </c>
      <c r="Q23" s="23">
        <v>0.0</v>
      </c>
      <c r="R23" s="23">
        <v>0.0</v>
      </c>
      <c r="S23" s="26">
        <f t="shared" si="3"/>
        <v>17</v>
      </c>
      <c r="T23" s="23">
        <v>17.0</v>
      </c>
      <c r="U23" s="23">
        <v>0.0</v>
      </c>
      <c r="V23" s="23">
        <v>0.0</v>
      </c>
      <c r="W23" s="23">
        <v>0.0</v>
      </c>
      <c r="X23" s="26">
        <f t="shared" si="4"/>
        <v>17</v>
      </c>
    </row>
    <row r="24">
      <c r="A24" s="20" t="s">
        <v>45</v>
      </c>
      <c r="B24" s="27">
        <v>2.0</v>
      </c>
      <c r="C24" s="22">
        <v>0.0</v>
      </c>
      <c r="D24" s="22">
        <v>1.0</v>
      </c>
      <c r="E24" s="22">
        <v>0.0</v>
      </c>
      <c r="F24" s="22">
        <v>0.0</v>
      </c>
      <c r="G24" s="22">
        <v>0.0</v>
      </c>
      <c r="H24" s="22">
        <v>1.0</v>
      </c>
      <c r="I24" s="22">
        <v>0.0</v>
      </c>
      <c r="J24" s="25">
        <f t="shared" si="1"/>
        <v>2</v>
      </c>
      <c r="K24" s="23">
        <v>2.0</v>
      </c>
      <c r="L24" s="23">
        <v>0.0</v>
      </c>
      <c r="M24" s="25">
        <f t="shared" si="2"/>
        <v>2</v>
      </c>
      <c r="N24" s="23">
        <v>0.0</v>
      </c>
      <c r="O24" s="23">
        <v>1.0</v>
      </c>
      <c r="P24" s="23">
        <v>1.0</v>
      </c>
      <c r="Q24" s="23">
        <v>0.0</v>
      </c>
      <c r="R24" s="23">
        <v>0.0</v>
      </c>
      <c r="S24" s="26">
        <f t="shared" si="3"/>
        <v>2</v>
      </c>
      <c r="T24" s="23">
        <v>1.0</v>
      </c>
      <c r="U24" s="23">
        <v>0.0</v>
      </c>
      <c r="V24" s="23">
        <v>1.0</v>
      </c>
      <c r="W24" s="23">
        <v>0.0</v>
      </c>
      <c r="X24" s="26">
        <f t="shared" si="4"/>
        <v>2</v>
      </c>
    </row>
    <row r="25">
      <c r="A25" s="20" t="s">
        <v>46</v>
      </c>
      <c r="B25" s="27">
        <v>20.0</v>
      </c>
      <c r="C25" s="22">
        <v>0.0</v>
      </c>
      <c r="D25" s="22">
        <v>17.0</v>
      </c>
      <c r="E25" s="22">
        <v>0.0</v>
      </c>
      <c r="F25" s="22">
        <v>0.0</v>
      </c>
      <c r="G25" s="22">
        <v>0.0</v>
      </c>
      <c r="H25" s="22">
        <v>3.0</v>
      </c>
      <c r="I25" s="22">
        <v>0.0</v>
      </c>
      <c r="J25" s="25">
        <f t="shared" si="1"/>
        <v>20</v>
      </c>
      <c r="K25" s="23">
        <v>18.0</v>
      </c>
      <c r="L25" s="23">
        <v>2.0</v>
      </c>
      <c r="M25" s="25">
        <f t="shared" si="2"/>
        <v>20</v>
      </c>
      <c r="N25" s="23">
        <v>5.0</v>
      </c>
      <c r="O25" s="23">
        <v>15.0</v>
      </c>
      <c r="P25" s="23">
        <v>0.0</v>
      </c>
      <c r="Q25" s="23">
        <v>0.0</v>
      </c>
      <c r="R25" s="23">
        <v>0.0</v>
      </c>
      <c r="S25" s="26">
        <f t="shared" si="3"/>
        <v>20</v>
      </c>
      <c r="T25" s="23">
        <v>16.0</v>
      </c>
      <c r="U25" s="23">
        <v>1.0</v>
      </c>
      <c r="V25" s="23">
        <v>3.0</v>
      </c>
      <c r="W25" s="23">
        <v>0.0</v>
      </c>
      <c r="X25" s="26">
        <f t="shared" si="4"/>
        <v>20</v>
      </c>
    </row>
    <row r="26">
      <c r="A26" s="20" t="s">
        <v>47</v>
      </c>
      <c r="B26" s="27">
        <v>16.0</v>
      </c>
      <c r="C26" s="22">
        <v>3.0</v>
      </c>
      <c r="D26" s="22">
        <v>5.0</v>
      </c>
      <c r="E26" s="22">
        <v>0.0</v>
      </c>
      <c r="F26" s="22">
        <v>0.0</v>
      </c>
      <c r="G26" s="22">
        <v>0.0</v>
      </c>
      <c r="H26" s="22">
        <v>8.0</v>
      </c>
      <c r="I26" s="22">
        <v>0.0</v>
      </c>
      <c r="J26" s="25">
        <f t="shared" si="1"/>
        <v>16</v>
      </c>
      <c r="K26" s="23">
        <v>14.0</v>
      </c>
      <c r="L26" s="23">
        <v>2.0</v>
      </c>
      <c r="M26" s="25">
        <f t="shared" si="2"/>
        <v>16</v>
      </c>
      <c r="N26" s="23">
        <v>1.0</v>
      </c>
      <c r="O26" s="23">
        <v>13.0</v>
      </c>
      <c r="P26" s="23">
        <v>2.0</v>
      </c>
      <c r="Q26" s="23">
        <v>0.0</v>
      </c>
      <c r="R26" s="23">
        <v>0.0</v>
      </c>
      <c r="S26" s="26">
        <f t="shared" si="3"/>
        <v>16</v>
      </c>
      <c r="T26" s="23">
        <v>15.0</v>
      </c>
      <c r="U26" s="23">
        <v>0.0</v>
      </c>
      <c r="V26" s="23">
        <v>1.0</v>
      </c>
      <c r="W26" s="23">
        <v>0.0</v>
      </c>
      <c r="X26" s="26">
        <f t="shared" si="4"/>
        <v>16</v>
      </c>
    </row>
    <row r="27">
      <c r="A27" s="20" t="s">
        <v>48</v>
      </c>
      <c r="B27" s="21">
        <v>1.0</v>
      </c>
      <c r="C27" s="22">
        <v>0.0</v>
      </c>
      <c r="D27" s="22">
        <v>0.0</v>
      </c>
      <c r="E27" s="22">
        <v>0.0</v>
      </c>
      <c r="F27" s="22">
        <v>0.0</v>
      </c>
      <c r="G27" s="22">
        <v>0.0</v>
      </c>
      <c r="H27" s="22">
        <v>1.0</v>
      </c>
      <c r="I27" s="22">
        <v>0.0</v>
      </c>
      <c r="J27" s="25">
        <f t="shared" si="1"/>
        <v>1</v>
      </c>
      <c r="K27" s="23">
        <v>1.0</v>
      </c>
      <c r="L27" s="23">
        <v>0.0</v>
      </c>
      <c r="M27" s="25">
        <f t="shared" si="2"/>
        <v>1</v>
      </c>
      <c r="N27" s="23">
        <v>0.0</v>
      </c>
      <c r="O27" s="23">
        <v>0.0</v>
      </c>
      <c r="P27" s="23">
        <v>0.0</v>
      </c>
      <c r="Q27" s="23">
        <v>1.0</v>
      </c>
      <c r="R27" s="23">
        <v>0.0</v>
      </c>
      <c r="S27" s="26">
        <f t="shared" si="3"/>
        <v>1</v>
      </c>
      <c r="T27" s="23">
        <v>1.0</v>
      </c>
      <c r="U27" s="23">
        <v>0.0</v>
      </c>
      <c r="V27" s="23">
        <v>0.0</v>
      </c>
      <c r="W27" s="23">
        <v>0.0</v>
      </c>
      <c r="X27" s="26">
        <f t="shared" si="4"/>
        <v>1</v>
      </c>
    </row>
    <row r="28">
      <c r="A28" s="20" t="s">
        <v>49</v>
      </c>
      <c r="B28" s="21">
        <v>4.0</v>
      </c>
      <c r="C28" s="22">
        <v>0.0</v>
      </c>
      <c r="D28" s="22">
        <v>4.0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5">
        <f t="shared" si="1"/>
        <v>4</v>
      </c>
      <c r="K28" s="23">
        <v>2.0</v>
      </c>
      <c r="L28" s="23">
        <v>2.0</v>
      </c>
      <c r="M28" s="25">
        <f t="shared" si="2"/>
        <v>4</v>
      </c>
      <c r="N28" s="23">
        <v>2.0</v>
      </c>
      <c r="O28" s="23">
        <v>2.0</v>
      </c>
      <c r="P28" s="23">
        <v>0.0</v>
      </c>
      <c r="Q28" s="23">
        <v>0.0</v>
      </c>
      <c r="R28" s="23">
        <v>0.0</v>
      </c>
      <c r="S28" s="26">
        <f t="shared" si="3"/>
        <v>4</v>
      </c>
      <c r="T28" s="23">
        <v>1.0</v>
      </c>
      <c r="U28" s="23">
        <v>0.0</v>
      </c>
      <c r="V28" s="23">
        <v>3.0</v>
      </c>
      <c r="W28" s="23">
        <v>0.0</v>
      </c>
      <c r="X28" s="26">
        <f t="shared" si="4"/>
        <v>4</v>
      </c>
    </row>
    <row r="29">
      <c r="A29" s="20" t="s">
        <v>50</v>
      </c>
      <c r="B29" s="21">
        <v>17.0</v>
      </c>
      <c r="C29" s="22">
        <v>2.0</v>
      </c>
      <c r="D29" s="22">
        <v>10.0</v>
      </c>
      <c r="E29" s="22">
        <v>0.0</v>
      </c>
      <c r="F29" s="22">
        <v>0.0</v>
      </c>
      <c r="G29" s="22">
        <v>0.0</v>
      </c>
      <c r="H29" s="22">
        <v>5.0</v>
      </c>
      <c r="I29" s="22">
        <v>0.0</v>
      </c>
      <c r="J29" s="25">
        <f t="shared" si="1"/>
        <v>17</v>
      </c>
      <c r="K29" s="23">
        <v>17.0</v>
      </c>
      <c r="L29" s="23">
        <v>0.0</v>
      </c>
      <c r="M29" s="25">
        <f t="shared" si="2"/>
        <v>17</v>
      </c>
      <c r="N29" s="23">
        <v>0.0</v>
      </c>
      <c r="O29" s="23">
        <v>16.0</v>
      </c>
      <c r="P29" s="23">
        <v>1.0</v>
      </c>
      <c r="Q29" s="23">
        <v>0.0</v>
      </c>
      <c r="R29" s="23">
        <v>0.0</v>
      </c>
      <c r="S29" s="26">
        <f t="shared" si="3"/>
        <v>17</v>
      </c>
      <c r="T29" s="23">
        <v>14.0</v>
      </c>
      <c r="U29" s="23">
        <v>0.0</v>
      </c>
      <c r="V29" s="23">
        <v>2.0</v>
      </c>
      <c r="W29" s="23">
        <v>1.0</v>
      </c>
      <c r="X29" s="26">
        <f t="shared" si="4"/>
        <v>17</v>
      </c>
    </row>
    <row r="30">
      <c r="A30" s="20" t="s">
        <v>51</v>
      </c>
      <c r="B30" s="27">
        <v>0.0</v>
      </c>
      <c r="C30" s="22">
        <v>0.0</v>
      </c>
      <c r="D30" s="22">
        <v>0.0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5">
        <f t="shared" si="1"/>
        <v>0</v>
      </c>
      <c r="K30" s="23">
        <v>0.0</v>
      </c>
      <c r="L30" s="23">
        <v>0.0</v>
      </c>
      <c r="M30" s="25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6">
        <f t="shared" si="3"/>
        <v>0</v>
      </c>
      <c r="T30" s="23">
        <v>0.0</v>
      </c>
      <c r="U30" s="23">
        <v>0.0</v>
      </c>
      <c r="V30" s="23">
        <v>0.0</v>
      </c>
      <c r="W30" s="23">
        <v>0.0</v>
      </c>
      <c r="X30" s="26">
        <f t="shared" si="4"/>
        <v>0</v>
      </c>
    </row>
    <row r="31">
      <c r="A31" s="20" t="s">
        <v>52</v>
      </c>
      <c r="B31" s="27">
        <v>15.0</v>
      </c>
      <c r="C31" s="22">
        <v>0.0</v>
      </c>
      <c r="D31" s="22">
        <v>15.0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5">
        <f t="shared" si="1"/>
        <v>15</v>
      </c>
      <c r="K31" s="23">
        <v>15.0</v>
      </c>
      <c r="L31" s="23">
        <v>0.0</v>
      </c>
      <c r="M31" s="25">
        <f t="shared" si="2"/>
        <v>15</v>
      </c>
      <c r="N31" s="23">
        <v>0.0</v>
      </c>
      <c r="O31" s="23">
        <v>1.0</v>
      </c>
      <c r="P31" s="23">
        <v>13.0</v>
      </c>
      <c r="Q31" s="23">
        <v>1.0</v>
      </c>
      <c r="R31" s="23">
        <v>0.0</v>
      </c>
      <c r="S31" s="26">
        <f t="shared" si="3"/>
        <v>15</v>
      </c>
      <c r="T31" s="23">
        <v>10.0</v>
      </c>
      <c r="U31" s="23">
        <v>0.0</v>
      </c>
      <c r="V31" s="23">
        <v>5.0</v>
      </c>
      <c r="W31" s="23">
        <v>0.0</v>
      </c>
      <c r="X31" s="26">
        <f t="shared" si="4"/>
        <v>15</v>
      </c>
    </row>
    <row r="32">
      <c r="A32" s="20" t="s">
        <v>53</v>
      </c>
      <c r="B32" s="21">
        <v>5.0</v>
      </c>
      <c r="C32" s="22">
        <v>1.0</v>
      </c>
      <c r="D32" s="22">
        <v>4.0</v>
      </c>
      <c r="E32" s="22">
        <v>0.0</v>
      </c>
      <c r="F32" s="22">
        <v>0.0</v>
      </c>
      <c r="G32" s="22">
        <v>0.0</v>
      </c>
      <c r="H32" s="22">
        <v>0.0</v>
      </c>
      <c r="I32" s="22">
        <v>0.0</v>
      </c>
      <c r="J32" s="25">
        <f t="shared" si="1"/>
        <v>5</v>
      </c>
      <c r="K32" s="23">
        <v>5.0</v>
      </c>
      <c r="L32" s="23">
        <v>0.0</v>
      </c>
      <c r="M32" s="25">
        <f t="shared" si="2"/>
        <v>5</v>
      </c>
      <c r="N32" s="23">
        <v>1.0</v>
      </c>
      <c r="O32" s="23">
        <v>2.0</v>
      </c>
      <c r="P32" s="23">
        <v>1.0</v>
      </c>
      <c r="Q32" s="23">
        <v>1.0</v>
      </c>
      <c r="R32" s="23">
        <v>0.0</v>
      </c>
      <c r="S32" s="26">
        <f t="shared" si="3"/>
        <v>5</v>
      </c>
      <c r="T32" s="23">
        <v>4.0</v>
      </c>
      <c r="U32" s="23">
        <v>0.0</v>
      </c>
      <c r="V32" s="23">
        <v>1.0</v>
      </c>
      <c r="W32" s="23">
        <v>0.0</v>
      </c>
      <c r="X32" s="26">
        <f t="shared" si="4"/>
        <v>5</v>
      </c>
    </row>
    <row r="33">
      <c r="A33" s="20" t="s">
        <v>54</v>
      </c>
      <c r="B33" s="21">
        <v>4.0</v>
      </c>
      <c r="C33" s="22">
        <v>0.0</v>
      </c>
      <c r="D33" s="22">
        <v>3.0</v>
      </c>
      <c r="E33" s="22">
        <v>0.0</v>
      </c>
      <c r="F33" s="22">
        <v>0.0</v>
      </c>
      <c r="G33" s="22">
        <v>0.0</v>
      </c>
      <c r="H33" s="22">
        <v>1.0</v>
      </c>
      <c r="I33" s="22">
        <v>0.0</v>
      </c>
      <c r="J33" s="25">
        <f t="shared" si="1"/>
        <v>4</v>
      </c>
      <c r="K33" s="23">
        <v>4.0</v>
      </c>
      <c r="L33" s="23">
        <v>0.0</v>
      </c>
      <c r="M33" s="25">
        <f t="shared" si="2"/>
        <v>4</v>
      </c>
      <c r="N33" s="23">
        <v>0.0</v>
      </c>
      <c r="O33" s="23">
        <v>3.0</v>
      </c>
      <c r="P33" s="23">
        <v>1.0</v>
      </c>
      <c r="Q33" s="23">
        <v>0.0</v>
      </c>
      <c r="R33" s="23">
        <v>0.0</v>
      </c>
      <c r="S33" s="26">
        <f t="shared" si="3"/>
        <v>4</v>
      </c>
      <c r="T33" s="23">
        <v>3.0</v>
      </c>
      <c r="U33" s="23">
        <v>0.0</v>
      </c>
      <c r="V33" s="23">
        <v>1.0</v>
      </c>
      <c r="W33" s="23">
        <v>0.0</v>
      </c>
      <c r="X33" s="26">
        <f t="shared" si="4"/>
        <v>4</v>
      </c>
    </row>
    <row r="34">
      <c r="A34" s="20" t="s">
        <v>55</v>
      </c>
      <c r="B34" s="27">
        <v>8.0</v>
      </c>
      <c r="C34" s="22">
        <v>0.0</v>
      </c>
      <c r="D34" s="22">
        <v>8.0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5">
        <f t="shared" si="1"/>
        <v>8</v>
      </c>
      <c r="K34" s="23">
        <v>8.0</v>
      </c>
      <c r="L34" s="23">
        <v>0.0</v>
      </c>
      <c r="M34" s="25">
        <f t="shared" si="2"/>
        <v>8</v>
      </c>
      <c r="N34" s="23">
        <v>0.0</v>
      </c>
      <c r="O34" s="23">
        <v>0.0</v>
      </c>
      <c r="P34" s="23">
        <v>8.0</v>
      </c>
      <c r="Q34" s="23">
        <v>0.0</v>
      </c>
      <c r="R34" s="23">
        <v>0.0</v>
      </c>
      <c r="S34" s="26">
        <f t="shared" si="3"/>
        <v>8</v>
      </c>
      <c r="T34" s="23">
        <v>6.0</v>
      </c>
      <c r="U34" s="23">
        <v>0.0</v>
      </c>
      <c r="V34" s="23">
        <v>2.0</v>
      </c>
      <c r="W34" s="23">
        <v>0.0</v>
      </c>
      <c r="X34" s="26">
        <f t="shared" si="4"/>
        <v>8</v>
      </c>
    </row>
    <row r="35">
      <c r="A35" s="20" t="s">
        <v>56</v>
      </c>
      <c r="B35" s="27">
        <v>0.0</v>
      </c>
      <c r="C35" s="22">
        <v>0.0</v>
      </c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7.0</v>
      </c>
      <c r="C36" s="22">
        <v>0.0</v>
      </c>
      <c r="D36" s="22">
        <v>7.0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5">
        <f t="shared" si="1"/>
        <v>7</v>
      </c>
      <c r="K36" s="23">
        <v>6.0</v>
      </c>
      <c r="L36" s="23">
        <v>1.0</v>
      </c>
      <c r="M36" s="25">
        <f t="shared" si="2"/>
        <v>7</v>
      </c>
      <c r="N36" s="23">
        <v>4.0</v>
      </c>
      <c r="O36" s="23">
        <v>1.0</v>
      </c>
      <c r="P36" s="23">
        <v>2.0</v>
      </c>
      <c r="Q36" s="23">
        <v>0.0</v>
      </c>
      <c r="R36" s="23">
        <v>0.0</v>
      </c>
      <c r="S36" s="26">
        <f t="shared" si="3"/>
        <v>7</v>
      </c>
      <c r="T36" s="23">
        <v>5.0</v>
      </c>
      <c r="U36" s="23">
        <v>0.0</v>
      </c>
      <c r="V36" s="23">
        <v>2.0</v>
      </c>
      <c r="W36" s="23">
        <v>0.0</v>
      </c>
      <c r="X36" s="26">
        <f t="shared" si="4"/>
        <v>7</v>
      </c>
    </row>
    <row r="37">
      <c r="A37" s="20" t="s">
        <v>58</v>
      </c>
      <c r="B37" s="21">
        <v>0.0</v>
      </c>
      <c r="C37" s="22">
        <v>0.0</v>
      </c>
      <c r="D37" s="22">
        <v>0.0</v>
      </c>
      <c r="E37" s="22">
        <v>0.0</v>
      </c>
      <c r="F37" s="22">
        <v>0.0</v>
      </c>
      <c r="G37" s="22">
        <v>0.0</v>
      </c>
      <c r="H37" s="22">
        <v>0.0</v>
      </c>
      <c r="I37" s="22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2">
        <v>0.0</v>
      </c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5">
        <f t="shared" si="1"/>
        <v>0</v>
      </c>
      <c r="K38" s="23">
        <v>0.0</v>
      </c>
      <c r="L38" s="23">
        <v>0.0</v>
      </c>
      <c r="M38" s="25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6">
        <f t="shared" si="3"/>
        <v>0</v>
      </c>
      <c r="T38" s="23">
        <v>0.0</v>
      </c>
      <c r="U38" s="23">
        <v>0.0</v>
      </c>
      <c r="V38" s="23">
        <v>0.0</v>
      </c>
      <c r="W38" s="23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/>
      <c r="C39" s="22"/>
      <c r="D39" s="22"/>
      <c r="E39" s="22"/>
      <c r="F39" s="22"/>
      <c r="G39" s="22"/>
      <c r="H39" s="22"/>
      <c r="I39" s="22"/>
      <c r="J39" s="25"/>
      <c r="K39" s="23"/>
      <c r="L39" s="23"/>
      <c r="M39" s="25"/>
      <c r="N39" s="23"/>
      <c r="O39" s="23"/>
      <c r="P39" s="23"/>
      <c r="Q39" s="23"/>
      <c r="R39" s="23"/>
      <c r="S39" s="26"/>
      <c r="T39" s="23"/>
      <c r="U39" s="23"/>
      <c r="V39" s="23"/>
      <c r="W39" s="23"/>
      <c r="X39" s="26"/>
      <c r="Y39" s="30"/>
      <c r="Z39" s="30"/>
    </row>
    <row r="40">
      <c r="A40" s="20" t="s">
        <v>61</v>
      </c>
      <c r="B40" s="28">
        <v>0.0</v>
      </c>
      <c r="C40" s="22">
        <v>0.0</v>
      </c>
      <c r="D40" s="22">
        <v>0.0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5">
        <f t="shared" ref="J40:J65" si="5">sum(C40:I40)</f>
        <v>0</v>
      </c>
      <c r="K40" s="23">
        <v>0.0</v>
      </c>
      <c r="L40" s="23">
        <v>0.0</v>
      </c>
      <c r="M40" s="25">
        <f t="shared" ref="M40:M65" si="6">sum(K40:L40)</f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6">
        <f t="shared" ref="S40:S65" si="7">sum(N40:R40)</f>
        <v>0</v>
      </c>
      <c r="T40" s="23">
        <v>0.0</v>
      </c>
      <c r="U40" s="23">
        <v>0.0</v>
      </c>
      <c r="V40" s="23">
        <v>0.0</v>
      </c>
      <c r="W40" s="23">
        <v>0.0</v>
      </c>
      <c r="X40" s="26">
        <f t="shared" ref="X40:X65" si="8">sum(T40:W40)</f>
        <v>0</v>
      </c>
      <c r="Y40" s="30"/>
      <c r="Z40" s="30"/>
    </row>
    <row r="41">
      <c r="A41" s="20" t="s">
        <v>62</v>
      </c>
      <c r="B41" s="27">
        <v>26.0</v>
      </c>
      <c r="C41" s="22">
        <v>0.0</v>
      </c>
      <c r="D41" s="22">
        <v>25.0</v>
      </c>
      <c r="E41" s="22">
        <v>0.0</v>
      </c>
      <c r="F41" s="22">
        <v>0.0</v>
      </c>
      <c r="G41" s="22">
        <v>0.0</v>
      </c>
      <c r="H41" s="22">
        <v>1.0</v>
      </c>
      <c r="I41" s="22">
        <v>0.0</v>
      </c>
      <c r="J41" s="25">
        <f t="shared" si="5"/>
        <v>26</v>
      </c>
      <c r="K41" s="23">
        <v>26.0</v>
      </c>
      <c r="L41" s="23">
        <v>0.0</v>
      </c>
      <c r="M41" s="25">
        <f t="shared" si="6"/>
        <v>26</v>
      </c>
      <c r="N41" s="23">
        <v>0.0</v>
      </c>
      <c r="O41" s="23">
        <v>1.0</v>
      </c>
      <c r="P41" s="23">
        <v>22.0</v>
      </c>
      <c r="Q41" s="23">
        <v>3.0</v>
      </c>
      <c r="R41" s="23">
        <v>0.0</v>
      </c>
      <c r="S41" s="26">
        <f t="shared" si="7"/>
        <v>26</v>
      </c>
      <c r="T41" s="23">
        <v>17.0</v>
      </c>
      <c r="U41" s="23">
        <v>1.0</v>
      </c>
      <c r="V41" s="23">
        <v>6.0</v>
      </c>
      <c r="W41" s="23">
        <v>2.0</v>
      </c>
      <c r="X41" s="26">
        <f t="shared" si="8"/>
        <v>26</v>
      </c>
    </row>
    <row r="42">
      <c r="A42" s="20" t="s">
        <v>63</v>
      </c>
      <c r="B42" s="27">
        <v>0.0</v>
      </c>
      <c r="C42" s="22">
        <v>0.0</v>
      </c>
      <c r="D42" s="22">
        <v>0.0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5">
        <f t="shared" si="5"/>
        <v>0</v>
      </c>
      <c r="K42" s="23">
        <v>0.0</v>
      </c>
      <c r="L42" s="23">
        <v>0.0</v>
      </c>
      <c r="M42" s="25">
        <f t="shared" si="6"/>
        <v>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6">
        <f t="shared" si="7"/>
        <v>0</v>
      </c>
      <c r="T42" s="23">
        <v>0.0</v>
      </c>
      <c r="U42" s="23">
        <v>0.0</v>
      </c>
      <c r="V42" s="23">
        <v>0.0</v>
      </c>
      <c r="W42" s="23">
        <v>0.0</v>
      </c>
      <c r="X42" s="26">
        <f t="shared" si="8"/>
        <v>0</v>
      </c>
    </row>
    <row r="43">
      <c r="A43" s="20" t="s">
        <v>64</v>
      </c>
      <c r="B43" s="27">
        <v>0.0</v>
      </c>
      <c r="C43" s="22">
        <v>0.0</v>
      </c>
      <c r="D43" s="22">
        <v>0.0</v>
      </c>
      <c r="E43" s="22">
        <v>0.0</v>
      </c>
      <c r="F43" s="22">
        <v>0.0</v>
      </c>
      <c r="G43" s="22">
        <v>0.0</v>
      </c>
      <c r="H43" s="22">
        <v>0.0</v>
      </c>
      <c r="I43" s="22">
        <v>0.0</v>
      </c>
      <c r="J43" s="25">
        <f t="shared" si="5"/>
        <v>0</v>
      </c>
      <c r="K43" s="23">
        <v>0.0</v>
      </c>
      <c r="L43" s="23">
        <v>0.0</v>
      </c>
      <c r="M43" s="25">
        <f t="shared" si="6"/>
        <v>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6">
        <f t="shared" si="7"/>
        <v>0</v>
      </c>
      <c r="T43" s="23">
        <v>0.0</v>
      </c>
      <c r="U43" s="23">
        <v>0.0</v>
      </c>
      <c r="V43" s="23">
        <v>0.0</v>
      </c>
      <c r="W43" s="23">
        <v>0.0</v>
      </c>
      <c r="X43" s="26">
        <f t="shared" si="8"/>
        <v>0</v>
      </c>
    </row>
    <row r="44">
      <c r="A44" s="20" t="s">
        <v>65</v>
      </c>
      <c r="B44" s="27">
        <v>1.0</v>
      </c>
      <c r="C44" s="22">
        <v>0.0</v>
      </c>
      <c r="D44" s="22">
        <v>0.0</v>
      </c>
      <c r="E44" s="22">
        <v>0.0</v>
      </c>
      <c r="F44" s="22">
        <v>0.0</v>
      </c>
      <c r="G44" s="22">
        <v>0.0</v>
      </c>
      <c r="H44" s="22">
        <v>1.0</v>
      </c>
      <c r="I44" s="22">
        <v>0.0</v>
      </c>
      <c r="J44" s="25">
        <f t="shared" si="5"/>
        <v>1</v>
      </c>
      <c r="K44" s="23">
        <v>1.0</v>
      </c>
      <c r="L44" s="23">
        <v>0.0</v>
      </c>
      <c r="M44" s="25">
        <f t="shared" si="6"/>
        <v>1</v>
      </c>
      <c r="N44" s="23">
        <v>0.0</v>
      </c>
      <c r="O44" s="23">
        <v>1.0</v>
      </c>
      <c r="P44" s="23">
        <v>0.0</v>
      </c>
      <c r="Q44" s="23">
        <v>0.0</v>
      </c>
      <c r="R44" s="23">
        <v>0.0</v>
      </c>
      <c r="S44" s="26">
        <f t="shared" si="7"/>
        <v>1</v>
      </c>
      <c r="T44" s="23">
        <v>1.0</v>
      </c>
      <c r="U44" s="23">
        <v>0.0</v>
      </c>
      <c r="V44" s="23">
        <v>0.0</v>
      </c>
      <c r="W44" s="23">
        <v>0.0</v>
      </c>
      <c r="X44" s="26">
        <f t="shared" si="8"/>
        <v>1</v>
      </c>
    </row>
    <row r="45">
      <c r="A45" s="20" t="s">
        <v>66</v>
      </c>
      <c r="B45" s="27">
        <v>25.0</v>
      </c>
      <c r="C45" s="22">
        <v>2.0</v>
      </c>
      <c r="D45" s="22">
        <v>17.0</v>
      </c>
      <c r="E45" s="22">
        <v>0.0</v>
      </c>
      <c r="F45" s="22">
        <v>0.0</v>
      </c>
      <c r="G45" s="22">
        <v>0.0</v>
      </c>
      <c r="H45" s="22">
        <v>6.0</v>
      </c>
      <c r="I45" s="22">
        <v>0.0</v>
      </c>
      <c r="J45" s="25">
        <f t="shared" si="5"/>
        <v>25</v>
      </c>
      <c r="K45" s="23">
        <v>19.0</v>
      </c>
      <c r="L45" s="23">
        <v>6.0</v>
      </c>
      <c r="M45" s="25">
        <f t="shared" si="6"/>
        <v>25</v>
      </c>
      <c r="N45" s="23">
        <v>9.0</v>
      </c>
      <c r="O45" s="23">
        <v>15.0</v>
      </c>
      <c r="P45" s="23">
        <v>0.0</v>
      </c>
      <c r="Q45" s="23">
        <v>1.0</v>
      </c>
      <c r="R45" s="23">
        <v>0.0</v>
      </c>
      <c r="S45" s="26">
        <f t="shared" si="7"/>
        <v>25</v>
      </c>
      <c r="T45" s="23">
        <v>20.0</v>
      </c>
      <c r="U45" s="23">
        <v>0.0</v>
      </c>
      <c r="V45" s="23">
        <v>4.0</v>
      </c>
      <c r="W45" s="23">
        <v>1.0</v>
      </c>
      <c r="X45" s="26">
        <f t="shared" si="8"/>
        <v>25</v>
      </c>
    </row>
    <row r="46">
      <c r="A46" s="20" t="s">
        <v>67</v>
      </c>
      <c r="B46" s="27">
        <v>0.0</v>
      </c>
      <c r="C46" s="22">
        <v>0.0</v>
      </c>
      <c r="D46" s="22">
        <v>0.0</v>
      </c>
      <c r="E46" s="22">
        <v>0.0</v>
      </c>
      <c r="F46" s="22">
        <v>0.0</v>
      </c>
      <c r="G46" s="22">
        <v>0.0</v>
      </c>
      <c r="H46" s="22">
        <v>0.0</v>
      </c>
      <c r="I46" s="22">
        <v>0.0</v>
      </c>
      <c r="J46" s="25">
        <f t="shared" si="5"/>
        <v>0</v>
      </c>
      <c r="K46" s="23">
        <v>0.0</v>
      </c>
      <c r="L46" s="23">
        <v>0.0</v>
      </c>
      <c r="M46" s="25">
        <f t="shared" si="6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6">
        <f t="shared" si="7"/>
        <v>0</v>
      </c>
      <c r="T46" s="23">
        <v>0.0</v>
      </c>
      <c r="U46" s="23">
        <v>0.0</v>
      </c>
      <c r="V46" s="23">
        <v>0.0</v>
      </c>
      <c r="W46" s="23">
        <v>0.0</v>
      </c>
      <c r="X46" s="26">
        <f t="shared" si="8"/>
        <v>0</v>
      </c>
    </row>
    <row r="47">
      <c r="A47" s="20" t="s">
        <v>68</v>
      </c>
      <c r="B47" s="27">
        <v>22.0</v>
      </c>
      <c r="C47" s="22">
        <v>0.0</v>
      </c>
      <c r="D47" s="22">
        <v>20.0</v>
      </c>
      <c r="E47" s="22">
        <v>0.0</v>
      </c>
      <c r="F47" s="22">
        <v>0.0</v>
      </c>
      <c r="G47" s="22">
        <v>0.0</v>
      </c>
      <c r="H47" s="22">
        <v>2.0</v>
      </c>
      <c r="I47" s="22">
        <v>0.0</v>
      </c>
      <c r="J47" s="25">
        <f t="shared" si="5"/>
        <v>22</v>
      </c>
      <c r="K47" s="23">
        <v>17.0</v>
      </c>
      <c r="L47" s="23">
        <v>5.0</v>
      </c>
      <c r="M47" s="25">
        <f t="shared" si="6"/>
        <v>22</v>
      </c>
      <c r="N47" s="23">
        <v>22.0</v>
      </c>
      <c r="O47" s="23">
        <v>0.0</v>
      </c>
      <c r="P47" s="23">
        <v>0.0</v>
      </c>
      <c r="Q47" s="23">
        <v>0.0</v>
      </c>
      <c r="R47" s="23">
        <v>0.0</v>
      </c>
      <c r="S47" s="26">
        <f t="shared" si="7"/>
        <v>22</v>
      </c>
      <c r="T47" s="23">
        <v>16.0</v>
      </c>
      <c r="U47" s="23">
        <v>1.0</v>
      </c>
      <c r="V47" s="23">
        <v>5.0</v>
      </c>
      <c r="W47" s="23">
        <v>0.0</v>
      </c>
      <c r="X47" s="26">
        <f t="shared" si="8"/>
        <v>22</v>
      </c>
    </row>
    <row r="48">
      <c r="A48" s="20" t="s">
        <v>69</v>
      </c>
      <c r="B48" s="21">
        <v>0.0</v>
      </c>
      <c r="C48" s="22">
        <v>0.0</v>
      </c>
      <c r="D48" s="22">
        <v>0.0</v>
      </c>
      <c r="E48" s="22">
        <v>0.0</v>
      </c>
      <c r="F48" s="22">
        <v>0.0</v>
      </c>
      <c r="G48" s="22">
        <v>0.0</v>
      </c>
      <c r="H48" s="22">
        <v>0.0</v>
      </c>
      <c r="I48" s="22">
        <v>0.0</v>
      </c>
      <c r="J48" s="25">
        <f t="shared" si="5"/>
        <v>0</v>
      </c>
      <c r="K48" s="23">
        <v>0.0</v>
      </c>
      <c r="L48" s="23">
        <v>0.0</v>
      </c>
      <c r="M48" s="25">
        <f t="shared" si="6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6">
        <f t="shared" si="7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8"/>
        <v>0</v>
      </c>
    </row>
    <row r="49">
      <c r="A49" s="20" t="s">
        <v>70</v>
      </c>
      <c r="B49" s="21">
        <v>6.0</v>
      </c>
      <c r="C49" s="22">
        <v>0.0</v>
      </c>
      <c r="D49" s="22">
        <v>5.0</v>
      </c>
      <c r="E49" s="22">
        <v>0.0</v>
      </c>
      <c r="F49" s="22">
        <v>0.0</v>
      </c>
      <c r="G49" s="22">
        <v>0.0</v>
      </c>
      <c r="H49" s="22">
        <v>1.0</v>
      </c>
      <c r="I49" s="22">
        <v>0.0</v>
      </c>
      <c r="J49" s="25">
        <f t="shared" si="5"/>
        <v>6</v>
      </c>
      <c r="K49" s="23">
        <v>5.0</v>
      </c>
      <c r="L49" s="23">
        <v>1.0</v>
      </c>
      <c r="M49" s="25">
        <f t="shared" si="6"/>
        <v>6</v>
      </c>
      <c r="N49" s="23">
        <v>0.0</v>
      </c>
      <c r="O49" s="23">
        <v>4.0</v>
      </c>
      <c r="P49" s="23">
        <v>2.0</v>
      </c>
      <c r="Q49" s="23">
        <v>0.0</v>
      </c>
      <c r="R49" s="23">
        <v>0.0</v>
      </c>
      <c r="S49" s="26">
        <f t="shared" si="7"/>
        <v>6</v>
      </c>
      <c r="T49" s="23">
        <v>5.0</v>
      </c>
      <c r="U49" s="23">
        <v>0.0</v>
      </c>
      <c r="V49" s="23">
        <v>1.0</v>
      </c>
      <c r="W49" s="23">
        <v>0.0</v>
      </c>
      <c r="X49" s="26">
        <f t="shared" si="8"/>
        <v>6</v>
      </c>
    </row>
    <row r="50">
      <c r="A50" s="20" t="s">
        <v>71</v>
      </c>
      <c r="B50" s="21">
        <v>74.0</v>
      </c>
      <c r="C50" s="22">
        <v>16.0</v>
      </c>
      <c r="D50" s="22">
        <v>50.0</v>
      </c>
      <c r="E50" s="22">
        <v>0.0</v>
      </c>
      <c r="F50" s="22">
        <v>0.0</v>
      </c>
      <c r="G50" s="22">
        <v>0.0</v>
      </c>
      <c r="H50" s="22">
        <v>8.0</v>
      </c>
      <c r="I50" s="22">
        <v>0.0</v>
      </c>
      <c r="J50" s="25">
        <f t="shared" si="5"/>
        <v>74</v>
      </c>
      <c r="K50" s="23">
        <v>59.0</v>
      </c>
      <c r="L50" s="23">
        <v>15.0</v>
      </c>
      <c r="M50" s="25">
        <f t="shared" si="6"/>
        <v>74</v>
      </c>
      <c r="N50" s="23">
        <v>9.0</v>
      </c>
      <c r="O50" s="23">
        <v>59.0</v>
      </c>
      <c r="P50" s="23">
        <v>2.0</v>
      </c>
      <c r="Q50" s="23">
        <v>4.0</v>
      </c>
      <c r="R50" s="23">
        <v>0.0</v>
      </c>
      <c r="S50" s="26">
        <f t="shared" si="7"/>
        <v>74</v>
      </c>
      <c r="T50" s="23">
        <v>58.0</v>
      </c>
      <c r="U50" s="23">
        <v>0.0</v>
      </c>
      <c r="V50" s="23">
        <v>12.0</v>
      </c>
      <c r="W50" s="23">
        <v>4.0</v>
      </c>
      <c r="X50" s="26">
        <f t="shared" si="8"/>
        <v>74</v>
      </c>
    </row>
    <row r="51">
      <c r="A51" s="20" t="s">
        <v>72</v>
      </c>
      <c r="B51" s="21">
        <v>4.0</v>
      </c>
      <c r="C51" s="22">
        <v>0.0</v>
      </c>
      <c r="D51" s="22">
        <v>4.0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5">
        <f t="shared" si="5"/>
        <v>4</v>
      </c>
      <c r="K51" s="23">
        <v>4.0</v>
      </c>
      <c r="L51" s="23">
        <v>0.0</v>
      </c>
      <c r="M51" s="25">
        <f t="shared" si="6"/>
        <v>4</v>
      </c>
      <c r="N51" s="23">
        <v>0.0</v>
      </c>
      <c r="O51" s="23">
        <v>2.0</v>
      </c>
      <c r="P51" s="23">
        <v>2.0</v>
      </c>
      <c r="Q51" s="23">
        <v>0.0</v>
      </c>
      <c r="R51" s="23">
        <v>0.0</v>
      </c>
      <c r="S51" s="26">
        <f t="shared" si="7"/>
        <v>4</v>
      </c>
      <c r="T51" s="23">
        <v>2.0</v>
      </c>
      <c r="U51" s="23">
        <v>0.0</v>
      </c>
      <c r="V51" s="23">
        <v>2.0</v>
      </c>
      <c r="W51" s="23">
        <v>0.0</v>
      </c>
      <c r="X51" s="26">
        <f t="shared" si="8"/>
        <v>4</v>
      </c>
    </row>
    <row r="52">
      <c r="A52" s="20" t="s">
        <v>73</v>
      </c>
      <c r="B52" s="31">
        <v>0.0</v>
      </c>
      <c r="C52" s="22">
        <v>0.0</v>
      </c>
      <c r="D52" s="22">
        <v>0.0</v>
      </c>
      <c r="E52" s="22">
        <v>0.0</v>
      </c>
      <c r="F52" s="22">
        <v>0.0</v>
      </c>
      <c r="G52" s="22">
        <v>0.0</v>
      </c>
      <c r="H52" s="22">
        <v>0.0</v>
      </c>
      <c r="I52" s="22">
        <v>0.0</v>
      </c>
      <c r="J52" s="25">
        <f t="shared" si="5"/>
        <v>0</v>
      </c>
      <c r="K52" s="23">
        <v>0.0</v>
      </c>
      <c r="L52" s="23">
        <v>0.0</v>
      </c>
      <c r="M52" s="25">
        <f t="shared" si="6"/>
        <v>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6">
        <f t="shared" si="7"/>
        <v>0</v>
      </c>
      <c r="T52" s="23">
        <v>0.0</v>
      </c>
      <c r="U52" s="23">
        <v>0.0</v>
      </c>
      <c r="V52" s="23">
        <v>0.0</v>
      </c>
      <c r="W52" s="23">
        <v>0.0</v>
      </c>
      <c r="X52" s="26">
        <f t="shared" si="8"/>
        <v>0</v>
      </c>
    </row>
    <row r="53">
      <c r="A53" s="20" t="s">
        <v>74</v>
      </c>
      <c r="B53" s="31">
        <v>15.0</v>
      </c>
      <c r="C53" s="22">
        <v>0.0</v>
      </c>
      <c r="D53" s="22">
        <v>15.0</v>
      </c>
      <c r="E53" s="22">
        <v>0.0</v>
      </c>
      <c r="F53" s="22">
        <v>0.0</v>
      </c>
      <c r="G53" s="22">
        <v>0.0</v>
      </c>
      <c r="H53" s="22">
        <v>0.0</v>
      </c>
      <c r="I53" s="22">
        <v>0.0</v>
      </c>
      <c r="J53" s="25">
        <f t="shared" si="5"/>
        <v>15</v>
      </c>
      <c r="K53" s="23">
        <v>14.0</v>
      </c>
      <c r="L53" s="23">
        <v>1.0</v>
      </c>
      <c r="M53" s="25">
        <f t="shared" si="6"/>
        <v>15</v>
      </c>
      <c r="N53" s="23">
        <v>14.0</v>
      </c>
      <c r="O53" s="23">
        <v>1.0</v>
      </c>
      <c r="P53" s="23">
        <v>0.0</v>
      </c>
      <c r="Q53" s="23">
        <v>0.0</v>
      </c>
      <c r="R53" s="23">
        <v>0.0</v>
      </c>
      <c r="S53" s="26">
        <f t="shared" si="7"/>
        <v>15</v>
      </c>
      <c r="T53" s="23">
        <v>0.0</v>
      </c>
      <c r="U53" s="23">
        <v>0.0</v>
      </c>
      <c r="V53" s="23">
        <v>15.0</v>
      </c>
      <c r="W53" s="23">
        <v>0.0</v>
      </c>
      <c r="X53" s="26">
        <f t="shared" si="8"/>
        <v>15</v>
      </c>
    </row>
    <row r="54">
      <c r="A54" s="20" t="s">
        <v>75</v>
      </c>
      <c r="B54" s="31">
        <v>4.0</v>
      </c>
      <c r="C54" s="22">
        <v>0.0</v>
      </c>
      <c r="D54" s="22">
        <v>3.0</v>
      </c>
      <c r="E54" s="22">
        <v>0.0</v>
      </c>
      <c r="F54" s="22">
        <v>0.0</v>
      </c>
      <c r="G54" s="22">
        <v>0.0</v>
      </c>
      <c r="H54" s="22">
        <v>0.0</v>
      </c>
      <c r="I54" s="22">
        <v>0.0</v>
      </c>
      <c r="J54" s="25">
        <f t="shared" si="5"/>
        <v>3</v>
      </c>
      <c r="K54" s="23">
        <v>3.0</v>
      </c>
      <c r="L54" s="23">
        <v>0.0</v>
      </c>
      <c r="M54" s="25">
        <f t="shared" si="6"/>
        <v>3</v>
      </c>
      <c r="N54" s="23">
        <v>0.0</v>
      </c>
      <c r="O54" s="23">
        <v>0.0</v>
      </c>
      <c r="P54" s="23">
        <v>1.0</v>
      </c>
      <c r="Q54" s="23">
        <v>0.0</v>
      </c>
      <c r="R54" s="23">
        <v>2.0</v>
      </c>
      <c r="S54" s="26">
        <f t="shared" si="7"/>
        <v>3</v>
      </c>
      <c r="T54" s="23">
        <v>2.0</v>
      </c>
      <c r="U54" s="23">
        <v>0.0</v>
      </c>
      <c r="V54" s="23">
        <v>1.0</v>
      </c>
      <c r="W54" s="23">
        <v>0.0</v>
      </c>
      <c r="X54" s="26">
        <f t="shared" si="8"/>
        <v>3</v>
      </c>
    </row>
    <row r="55">
      <c r="A55" s="20" t="s">
        <v>76</v>
      </c>
      <c r="B55" s="31">
        <v>0.0</v>
      </c>
      <c r="C55" s="22">
        <v>0.0</v>
      </c>
      <c r="D55" s="22">
        <v>0.0</v>
      </c>
      <c r="E55" s="22">
        <v>0.0</v>
      </c>
      <c r="F55" s="22">
        <v>0.0</v>
      </c>
      <c r="G55" s="22">
        <v>0.0</v>
      </c>
      <c r="H55" s="22">
        <v>0.0</v>
      </c>
      <c r="I55" s="22">
        <v>0.0</v>
      </c>
      <c r="J55" s="25">
        <f t="shared" si="5"/>
        <v>0</v>
      </c>
      <c r="K55" s="23">
        <v>0.0</v>
      </c>
      <c r="L55" s="23">
        <v>0.0</v>
      </c>
      <c r="M55" s="25">
        <f t="shared" si="6"/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6">
        <f t="shared" si="7"/>
        <v>0</v>
      </c>
      <c r="T55" s="23">
        <v>0.0</v>
      </c>
      <c r="U55" s="23">
        <v>0.0</v>
      </c>
      <c r="V55" s="23">
        <v>0.0</v>
      </c>
      <c r="W55" s="23">
        <v>0.0</v>
      </c>
      <c r="X55" s="26">
        <f t="shared" si="8"/>
        <v>0</v>
      </c>
    </row>
    <row r="56">
      <c r="A56" s="20" t="s">
        <v>77</v>
      </c>
      <c r="B56" s="31">
        <v>15.0</v>
      </c>
      <c r="C56" s="22">
        <v>0.0</v>
      </c>
      <c r="D56" s="22">
        <v>8.0</v>
      </c>
      <c r="E56" s="22">
        <v>0.0</v>
      </c>
      <c r="F56" s="22">
        <v>0.0</v>
      </c>
      <c r="G56" s="22">
        <v>0.0</v>
      </c>
      <c r="H56" s="22">
        <v>6.0</v>
      </c>
      <c r="I56" s="22">
        <v>1.0</v>
      </c>
      <c r="J56" s="25">
        <f t="shared" si="5"/>
        <v>15</v>
      </c>
      <c r="K56" s="23">
        <v>14.0</v>
      </c>
      <c r="L56" s="23">
        <v>1.0</v>
      </c>
      <c r="M56" s="25">
        <f t="shared" si="6"/>
        <v>15</v>
      </c>
      <c r="N56" s="23">
        <v>5.0</v>
      </c>
      <c r="O56" s="23">
        <v>8.0</v>
      </c>
      <c r="P56" s="23">
        <v>1.0</v>
      </c>
      <c r="Q56" s="23">
        <v>1.0</v>
      </c>
      <c r="R56" s="23">
        <v>0.0</v>
      </c>
      <c r="S56" s="26">
        <f t="shared" si="7"/>
        <v>15</v>
      </c>
      <c r="T56" s="23">
        <v>11.0</v>
      </c>
      <c r="U56" s="23">
        <v>1.0</v>
      </c>
      <c r="V56" s="23">
        <v>2.0</v>
      </c>
      <c r="W56" s="23">
        <v>1.0</v>
      </c>
      <c r="X56" s="26">
        <f t="shared" si="8"/>
        <v>15</v>
      </c>
    </row>
    <row r="57">
      <c r="A57" s="20" t="s">
        <v>78</v>
      </c>
      <c r="B57" s="34">
        <v>2.0</v>
      </c>
      <c r="C57" s="22">
        <v>1.0</v>
      </c>
      <c r="D57" s="22">
        <v>1.0</v>
      </c>
      <c r="E57" s="22">
        <v>0.0</v>
      </c>
      <c r="F57" s="22">
        <v>0.0</v>
      </c>
      <c r="G57" s="22">
        <v>0.0</v>
      </c>
      <c r="H57" s="22">
        <v>0.0</v>
      </c>
      <c r="I57" s="22">
        <v>0.0</v>
      </c>
      <c r="J57" s="25">
        <f t="shared" si="5"/>
        <v>2</v>
      </c>
      <c r="K57" s="23">
        <v>2.0</v>
      </c>
      <c r="L57" s="23">
        <v>0.0</v>
      </c>
      <c r="M57" s="25">
        <f t="shared" si="6"/>
        <v>2</v>
      </c>
      <c r="N57" s="23">
        <v>0.0</v>
      </c>
      <c r="O57" s="23">
        <v>2.0</v>
      </c>
      <c r="P57" s="23">
        <v>0.0</v>
      </c>
      <c r="Q57" s="23">
        <v>0.0</v>
      </c>
      <c r="R57" s="23">
        <v>0.0</v>
      </c>
      <c r="S57" s="26">
        <f t="shared" si="7"/>
        <v>2</v>
      </c>
      <c r="T57" s="23">
        <v>2.0</v>
      </c>
      <c r="U57" s="23">
        <v>0.0</v>
      </c>
      <c r="V57" s="23">
        <v>0.0</v>
      </c>
      <c r="W57" s="23">
        <v>0.0</v>
      </c>
      <c r="X57" s="26">
        <f t="shared" si="8"/>
        <v>2</v>
      </c>
    </row>
    <row r="58">
      <c r="A58" s="20" t="s">
        <v>79</v>
      </c>
      <c r="B58" s="31">
        <v>0.0</v>
      </c>
      <c r="C58" s="22">
        <v>0.0</v>
      </c>
      <c r="D58" s="22">
        <v>0.0</v>
      </c>
      <c r="E58" s="22">
        <v>0.0</v>
      </c>
      <c r="F58" s="22">
        <v>0.0</v>
      </c>
      <c r="G58" s="22">
        <v>0.0</v>
      </c>
      <c r="H58" s="22">
        <v>0.0</v>
      </c>
      <c r="I58" s="22">
        <v>0.0</v>
      </c>
      <c r="J58" s="25">
        <f t="shared" si="5"/>
        <v>0</v>
      </c>
      <c r="K58" s="23">
        <v>0.0</v>
      </c>
      <c r="L58" s="23">
        <v>0.0</v>
      </c>
      <c r="M58" s="25">
        <f t="shared" si="6"/>
        <v>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6">
        <f t="shared" si="7"/>
        <v>0</v>
      </c>
      <c r="T58" s="23">
        <v>0.0</v>
      </c>
      <c r="U58" s="23">
        <v>0.0</v>
      </c>
      <c r="V58" s="23">
        <v>0.0</v>
      </c>
      <c r="W58" s="23">
        <v>0.0</v>
      </c>
      <c r="X58" s="26">
        <f t="shared" si="8"/>
        <v>0</v>
      </c>
    </row>
    <row r="59">
      <c r="A59" s="20" t="s">
        <v>80</v>
      </c>
      <c r="B59" s="31">
        <v>10.0</v>
      </c>
      <c r="C59" s="22">
        <v>0.0</v>
      </c>
      <c r="D59" s="22">
        <v>10.0</v>
      </c>
      <c r="E59" s="22">
        <v>0.0</v>
      </c>
      <c r="F59" s="22">
        <v>0.0</v>
      </c>
      <c r="G59" s="22">
        <v>0.0</v>
      </c>
      <c r="H59" s="22">
        <v>0.0</v>
      </c>
      <c r="I59" s="22">
        <v>0.0</v>
      </c>
      <c r="J59" s="25">
        <f t="shared" si="5"/>
        <v>10</v>
      </c>
      <c r="K59" s="23">
        <v>4.0</v>
      </c>
      <c r="L59" s="23">
        <v>6.0</v>
      </c>
      <c r="M59" s="25">
        <f t="shared" si="6"/>
        <v>10</v>
      </c>
      <c r="N59" s="23">
        <v>3.0</v>
      </c>
      <c r="O59" s="23">
        <v>7.0</v>
      </c>
      <c r="P59" s="23">
        <v>0.0</v>
      </c>
      <c r="Q59" s="23">
        <v>0.0</v>
      </c>
      <c r="R59" s="23">
        <v>0.0</v>
      </c>
      <c r="S59" s="26">
        <f t="shared" si="7"/>
        <v>10</v>
      </c>
      <c r="T59" s="23">
        <v>9.0</v>
      </c>
      <c r="U59" s="23">
        <v>0.0</v>
      </c>
      <c r="V59" s="23">
        <v>1.0</v>
      </c>
      <c r="W59" s="23">
        <v>0.0</v>
      </c>
      <c r="X59" s="26">
        <f t="shared" si="8"/>
        <v>10</v>
      </c>
    </row>
    <row r="60">
      <c r="A60" s="20" t="s">
        <v>81</v>
      </c>
      <c r="B60" s="31">
        <v>0.0</v>
      </c>
      <c r="C60" s="22">
        <v>0.0</v>
      </c>
      <c r="D60" s="22">
        <v>0.0</v>
      </c>
      <c r="E60" s="22">
        <v>0.0</v>
      </c>
      <c r="F60" s="22">
        <v>0.0</v>
      </c>
      <c r="G60" s="22">
        <v>0.0</v>
      </c>
      <c r="H60" s="22">
        <v>0.0</v>
      </c>
      <c r="I60" s="22">
        <v>0.0</v>
      </c>
      <c r="J60" s="25">
        <f t="shared" si="5"/>
        <v>0</v>
      </c>
      <c r="K60" s="23">
        <v>0.0</v>
      </c>
      <c r="L60" s="23">
        <v>0.0</v>
      </c>
      <c r="M60" s="25">
        <f t="shared" si="6"/>
        <v>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6">
        <f t="shared" si="7"/>
        <v>0</v>
      </c>
      <c r="T60" s="23">
        <v>0.0</v>
      </c>
      <c r="U60" s="23">
        <v>0.0</v>
      </c>
      <c r="V60" s="23">
        <v>0.0</v>
      </c>
      <c r="W60" s="23">
        <v>0.0</v>
      </c>
      <c r="X60" s="26">
        <f t="shared" si="8"/>
        <v>0</v>
      </c>
    </row>
    <row r="61">
      <c r="A61" s="20" t="s">
        <v>82</v>
      </c>
      <c r="B61" s="31">
        <v>6.0</v>
      </c>
      <c r="C61" s="22">
        <v>0.0</v>
      </c>
      <c r="D61" s="22">
        <v>4.0</v>
      </c>
      <c r="E61" s="22">
        <v>0.0</v>
      </c>
      <c r="F61" s="22">
        <v>0.0</v>
      </c>
      <c r="G61" s="22">
        <v>0.0</v>
      </c>
      <c r="H61" s="22">
        <v>2.0</v>
      </c>
      <c r="I61" s="22">
        <v>0.0</v>
      </c>
      <c r="J61" s="25">
        <f t="shared" si="5"/>
        <v>6</v>
      </c>
      <c r="K61" s="23">
        <v>4.0</v>
      </c>
      <c r="L61" s="23">
        <v>2.0</v>
      </c>
      <c r="M61" s="25">
        <f t="shared" si="6"/>
        <v>6</v>
      </c>
      <c r="N61" s="23">
        <v>1.0</v>
      </c>
      <c r="O61" s="23">
        <v>5.0</v>
      </c>
      <c r="P61" s="23">
        <v>0.0</v>
      </c>
      <c r="Q61" s="23">
        <v>0.0</v>
      </c>
      <c r="R61" s="23">
        <v>0.0</v>
      </c>
      <c r="S61" s="26">
        <f t="shared" si="7"/>
        <v>6</v>
      </c>
      <c r="T61" s="23">
        <v>4.0</v>
      </c>
      <c r="U61" s="23">
        <v>0.0</v>
      </c>
      <c r="V61" s="23">
        <v>1.0</v>
      </c>
      <c r="W61" s="23">
        <v>1.0</v>
      </c>
      <c r="X61" s="26">
        <f t="shared" si="8"/>
        <v>6</v>
      </c>
    </row>
    <row r="62">
      <c r="A62" s="20" t="s">
        <v>83</v>
      </c>
      <c r="B62" s="31">
        <v>0.0</v>
      </c>
      <c r="C62" s="22">
        <v>0.0</v>
      </c>
      <c r="D62" s="22">
        <v>0.0</v>
      </c>
      <c r="E62" s="22">
        <v>0.0</v>
      </c>
      <c r="F62" s="22">
        <v>0.0</v>
      </c>
      <c r="G62" s="22">
        <v>0.0</v>
      </c>
      <c r="H62" s="22">
        <v>0.0</v>
      </c>
      <c r="I62" s="22">
        <v>0.0</v>
      </c>
      <c r="J62" s="25">
        <f t="shared" si="5"/>
        <v>0</v>
      </c>
      <c r="K62" s="23">
        <v>0.0</v>
      </c>
      <c r="L62" s="23">
        <v>0.0</v>
      </c>
      <c r="M62" s="25">
        <f t="shared" si="6"/>
        <v>0</v>
      </c>
      <c r="N62" s="23">
        <v>0.0</v>
      </c>
      <c r="O62" s="23">
        <v>0.0</v>
      </c>
      <c r="P62" s="23">
        <v>0.0</v>
      </c>
      <c r="Q62" s="23">
        <v>0.0</v>
      </c>
      <c r="R62" s="23">
        <v>0.0</v>
      </c>
      <c r="S62" s="26">
        <f t="shared" si="7"/>
        <v>0</v>
      </c>
      <c r="T62" s="23">
        <v>0.0</v>
      </c>
      <c r="U62" s="23">
        <v>0.0</v>
      </c>
      <c r="V62" s="23">
        <v>0.0</v>
      </c>
      <c r="W62" s="23">
        <v>0.0</v>
      </c>
      <c r="X62" s="26">
        <f t="shared" si="8"/>
        <v>0</v>
      </c>
    </row>
    <row r="63">
      <c r="A63" s="20" t="s">
        <v>84</v>
      </c>
      <c r="B63" s="31">
        <v>10.0</v>
      </c>
      <c r="C63" s="22">
        <v>0.0</v>
      </c>
      <c r="D63" s="22">
        <v>9.0</v>
      </c>
      <c r="E63" s="22">
        <v>0.0</v>
      </c>
      <c r="F63" s="22">
        <v>0.0</v>
      </c>
      <c r="G63" s="22">
        <v>0.0</v>
      </c>
      <c r="H63" s="22">
        <v>1.0</v>
      </c>
      <c r="I63" s="22">
        <v>0.0</v>
      </c>
      <c r="J63" s="25">
        <f t="shared" si="5"/>
        <v>10</v>
      </c>
      <c r="K63" s="23">
        <v>10.0</v>
      </c>
      <c r="L63" s="23">
        <v>0.0</v>
      </c>
      <c r="M63" s="25">
        <f t="shared" si="6"/>
        <v>10</v>
      </c>
      <c r="N63" s="23">
        <v>4.0</v>
      </c>
      <c r="O63" s="23">
        <v>4.0</v>
      </c>
      <c r="P63" s="23">
        <v>1.0</v>
      </c>
      <c r="Q63" s="23">
        <v>0.0</v>
      </c>
      <c r="R63" s="23">
        <v>1.0</v>
      </c>
      <c r="S63" s="26">
        <f t="shared" si="7"/>
        <v>10</v>
      </c>
      <c r="T63" s="23">
        <v>9.0</v>
      </c>
      <c r="U63" s="23">
        <v>0.0</v>
      </c>
      <c r="V63" s="23">
        <v>0.0</v>
      </c>
      <c r="W63" s="23">
        <v>1.0</v>
      </c>
      <c r="X63" s="26">
        <f t="shared" si="8"/>
        <v>10</v>
      </c>
    </row>
    <row r="64">
      <c r="A64" s="20" t="s">
        <v>85</v>
      </c>
      <c r="B64" s="31">
        <v>7.0</v>
      </c>
      <c r="C64" s="22">
        <v>0.0</v>
      </c>
      <c r="D64" s="22">
        <v>7.0</v>
      </c>
      <c r="E64" s="22">
        <v>0.0</v>
      </c>
      <c r="F64" s="22">
        <v>0.0</v>
      </c>
      <c r="G64" s="22">
        <v>0.0</v>
      </c>
      <c r="H64" s="22">
        <v>0.0</v>
      </c>
      <c r="I64" s="22">
        <v>0.0</v>
      </c>
      <c r="J64" s="25">
        <f t="shared" si="5"/>
        <v>7</v>
      </c>
      <c r="K64" s="23">
        <v>7.0</v>
      </c>
      <c r="L64" s="23">
        <v>0.0</v>
      </c>
      <c r="M64" s="25">
        <f t="shared" si="6"/>
        <v>7</v>
      </c>
      <c r="N64" s="23">
        <v>0.0</v>
      </c>
      <c r="O64" s="23">
        <v>6.0</v>
      </c>
      <c r="P64" s="23">
        <v>1.0</v>
      </c>
      <c r="Q64" s="23">
        <v>0.0</v>
      </c>
      <c r="R64" s="23">
        <v>0.0</v>
      </c>
      <c r="S64" s="26">
        <f t="shared" si="7"/>
        <v>7</v>
      </c>
      <c r="T64" s="23">
        <v>6.0</v>
      </c>
      <c r="U64" s="23">
        <v>0.0</v>
      </c>
      <c r="V64" s="23">
        <v>0.0</v>
      </c>
      <c r="W64" s="23">
        <v>1.0</v>
      </c>
      <c r="X64" s="26">
        <f t="shared" si="8"/>
        <v>7</v>
      </c>
    </row>
    <row r="65">
      <c r="A65" s="20" t="s">
        <v>86</v>
      </c>
      <c r="B65" s="31">
        <v>0.0</v>
      </c>
      <c r="C65" s="22">
        <v>0.0</v>
      </c>
      <c r="D65" s="22">
        <v>0.0</v>
      </c>
      <c r="E65" s="22">
        <v>0.0</v>
      </c>
      <c r="F65" s="22">
        <v>0.0</v>
      </c>
      <c r="G65" s="22">
        <v>0.0</v>
      </c>
      <c r="H65" s="22">
        <v>0.0</v>
      </c>
      <c r="I65" s="22">
        <v>0.0</v>
      </c>
      <c r="J65" s="25">
        <f t="shared" si="5"/>
        <v>0</v>
      </c>
      <c r="K65" s="23">
        <v>0.0</v>
      </c>
      <c r="L65" s="23">
        <v>0.0</v>
      </c>
      <c r="M65" s="25">
        <f t="shared" si="6"/>
        <v>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6">
        <f t="shared" si="7"/>
        <v>0</v>
      </c>
      <c r="T65" s="23">
        <v>0.0</v>
      </c>
      <c r="U65" s="23">
        <v>0.0</v>
      </c>
      <c r="V65" s="23">
        <v>0.0</v>
      </c>
      <c r="W65" s="23">
        <v>0.0</v>
      </c>
      <c r="X65" s="26">
        <f t="shared" si="8"/>
        <v>0</v>
      </c>
    </row>
    <row r="66">
      <c r="A66" s="31" t="s">
        <v>13</v>
      </c>
      <c r="B66" s="35">
        <f t="shared" ref="B66:X66" si="9">SUM(B4:B65)</f>
        <v>823</v>
      </c>
      <c r="C66" s="35">
        <f t="shared" si="9"/>
        <v>42</v>
      </c>
      <c r="D66" s="35">
        <f t="shared" si="9"/>
        <v>657</v>
      </c>
      <c r="E66" s="35">
        <f t="shared" si="9"/>
        <v>0</v>
      </c>
      <c r="F66" s="35">
        <f t="shared" si="9"/>
        <v>2</v>
      </c>
      <c r="G66" s="35">
        <f t="shared" si="9"/>
        <v>1</v>
      </c>
      <c r="H66" s="35">
        <f t="shared" si="9"/>
        <v>118</v>
      </c>
      <c r="I66" s="35">
        <f t="shared" si="9"/>
        <v>2</v>
      </c>
      <c r="J66" s="35">
        <f t="shared" si="9"/>
        <v>822</v>
      </c>
      <c r="K66" s="35">
        <f t="shared" si="9"/>
        <v>754</v>
      </c>
      <c r="L66" s="35">
        <f t="shared" si="9"/>
        <v>68</v>
      </c>
      <c r="M66" s="35">
        <f t="shared" si="9"/>
        <v>822</v>
      </c>
      <c r="N66" s="35">
        <f t="shared" si="9"/>
        <v>290</v>
      </c>
      <c r="O66" s="35">
        <f t="shared" si="9"/>
        <v>332</v>
      </c>
      <c r="P66" s="35">
        <f t="shared" si="9"/>
        <v>158</v>
      </c>
      <c r="Q66" s="35">
        <f t="shared" si="9"/>
        <v>36</v>
      </c>
      <c r="R66" s="35">
        <f t="shared" si="9"/>
        <v>6</v>
      </c>
      <c r="S66" s="35">
        <f t="shared" si="9"/>
        <v>822</v>
      </c>
      <c r="T66" s="35">
        <f t="shared" si="9"/>
        <v>654</v>
      </c>
      <c r="U66" s="35">
        <f t="shared" si="9"/>
        <v>12</v>
      </c>
      <c r="V66" s="35">
        <f t="shared" si="9"/>
        <v>124</v>
      </c>
      <c r="W66" s="35">
        <f t="shared" si="9"/>
        <v>32</v>
      </c>
      <c r="X66" s="35">
        <f t="shared" si="9"/>
        <v>822</v>
      </c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11.0</v>
      </c>
      <c r="C4" s="22">
        <v>1.0</v>
      </c>
      <c r="D4" s="22">
        <v>9.0</v>
      </c>
      <c r="E4" s="22">
        <v>0.0</v>
      </c>
      <c r="F4" s="22">
        <v>0.0</v>
      </c>
      <c r="G4" s="22">
        <v>0.0</v>
      </c>
      <c r="H4" s="22">
        <v>1.0</v>
      </c>
      <c r="I4" s="22">
        <v>0.0</v>
      </c>
      <c r="J4" s="25">
        <f t="shared" ref="J4:J38" si="1">sum(C4:I4)</f>
        <v>11</v>
      </c>
      <c r="K4" s="23">
        <v>11.0</v>
      </c>
      <c r="L4" s="23">
        <v>0.0</v>
      </c>
      <c r="M4" s="25">
        <f t="shared" ref="M4:M38" si="2">sum(K4:L4)</f>
        <v>11</v>
      </c>
      <c r="N4" s="23">
        <v>6.0</v>
      </c>
      <c r="O4" s="23">
        <v>3.0</v>
      </c>
      <c r="P4" s="23">
        <v>1.0</v>
      </c>
      <c r="Q4" s="23">
        <v>0.0</v>
      </c>
      <c r="R4" s="23">
        <v>1.0</v>
      </c>
      <c r="S4" s="26">
        <f t="shared" ref="S4:S38" si="3">sum(N4:R4)</f>
        <v>11</v>
      </c>
      <c r="T4" s="23">
        <v>10.0</v>
      </c>
      <c r="U4" s="23">
        <v>0.0</v>
      </c>
      <c r="V4" s="23">
        <v>0.0</v>
      </c>
      <c r="W4" s="23">
        <v>1.0</v>
      </c>
      <c r="X4" s="26">
        <f t="shared" ref="X4:X38" si="4">sum(T4:W4)</f>
        <v>11</v>
      </c>
    </row>
    <row r="5">
      <c r="A5" s="20" t="s">
        <v>26</v>
      </c>
      <c r="B5" s="21">
        <v>0.0</v>
      </c>
      <c r="C5" s="22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5">
        <f t="shared" si="1"/>
        <v>0</v>
      </c>
      <c r="K5" s="23">
        <v>0.0</v>
      </c>
      <c r="L5" s="23">
        <v>0.0</v>
      </c>
      <c r="M5" s="25">
        <f t="shared" si="2"/>
        <v>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6">
        <f t="shared" si="3"/>
        <v>0</v>
      </c>
      <c r="T5" s="23">
        <v>0.0</v>
      </c>
      <c r="U5" s="23">
        <v>0.0</v>
      </c>
      <c r="V5" s="23">
        <v>0.0</v>
      </c>
      <c r="W5" s="23">
        <v>0.0</v>
      </c>
      <c r="X5" s="26">
        <f t="shared" si="4"/>
        <v>0</v>
      </c>
    </row>
    <row r="6">
      <c r="A6" s="20" t="s">
        <v>27</v>
      </c>
      <c r="B6" s="21">
        <v>2.0</v>
      </c>
      <c r="C6" s="22">
        <v>0.0</v>
      </c>
      <c r="D6" s="22">
        <v>1.0</v>
      </c>
      <c r="E6" s="22">
        <v>0.0</v>
      </c>
      <c r="F6" s="22">
        <v>0.0</v>
      </c>
      <c r="G6" s="22">
        <v>0.0</v>
      </c>
      <c r="H6" s="22">
        <v>1.0</v>
      </c>
      <c r="I6" s="22">
        <v>0.0</v>
      </c>
      <c r="J6" s="25">
        <f t="shared" si="1"/>
        <v>2</v>
      </c>
      <c r="K6" s="23">
        <v>2.0</v>
      </c>
      <c r="L6" s="23">
        <v>0.0</v>
      </c>
      <c r="M6" s="25">
        <f t="shared" si="2"/>
        <v>2</v>
      </c>
      <c r="N6" s="23">
        <v>1.0</v>
      </c>
      <c r="O6" s="23">
        <v>0.0</v>
      </c>
      <c r="P6" s="23">
        <v>1.0</v>
      </c>
      <c r="Q6" s="23">
        <v>0.0</v>
      </c>
      <c r="R6" s="23">
        <v>0.0</v>
      </c>
      <c r="S6" s="26">
        <f t="shared" si="3"/>
        <v>2</v>
      </c>
      <c r="T6" s="23">
        <v>2.0</v>
      </c>
      <c r="U6" s="23">
        <v>0.0</v>
      </c>
      <c r="V6" s="23">
        <v>0.0</v>
      </c>
      <c r="W6" s="23">
        <v>0.0</v>
      </c>
      <c r="X6" s="26">
        <f t="shared" si="4"/>
        <v>2</v>
      </c>
    </row>
    <row r="7">
      <c r="A7" s="20" t="s">
        <v>28</v>
      </c>
      <c r="B7" s="21">
        <v>3.0</v>
      </c>
      <c r="C7" s="22">
        <v>0.0</v>
      </c>
      <c r="D7" s="22">
        <v>3.0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5">
        <f t="shared" si="1"/>
        <v>3</v>
      </c>
      <c r="K7" s="23">
        <v>3.0</v>
      </c>
      <c r="L7" s="23">
        <v>0.0</v>
      </c>
      <c r="M7" s="25">
        <f t="shared" si="2"/>
        <v>3</v>
      </c>
      <c r="N7" s="23">
        <v>0.0</v>
      </c>
      <c r="O7" s="23">
        <v>0.0</v>
      </c>
      <c r="P7" s="23">
        <v>3.0</v>
      </c>
      <c r="Q7" s="23">
        <v>0.0</v>
      </c>
      <c r="R7" s="23">
        <v>0.0</v>
      </c>
      <c r="S7" s="26">
        <f t="shared" si="3"/>
        <v>3</v>
      </c>
      <c r="T7" s="23">
        <v>3.0</v>
      </c>
      <c r="U7" s="23">
        <v>0.0</v>
      </c>
      <c r="V7" s="23">
        <v>0.0</v>
      </c>
      <c r="W7" s="23">
        <v>0.0</v>
      </c>
      <c r="X7" s="26">
        <f t="shared" si="4"/>
        <v>3</v>
      </c>
    </row>
    <row r="8">
      <c r="A8" s="20" t="s">
        <v>29</v>
      </c>
      <c r="B8" s="21">
        <v>4.0</v>
      </c>
      <c r="C8" s="22">
        <v>0.0</v>
      </c>
      <c r="D8" s="22">
        <v>3.0</v>
      </c>
      <c r="E8" s="22">
        <v>0.0</v>
      </c>
      <c r="F8" s="22">
        <v>0.0</v>
      </c>
      <c r="G8" s="22">
        <v>0.0</v>
      </c>
      <c r="H8" s="22">
        <v>1.0</v>
      </c>
      <c r="I8" s="22">
        <v>0.0</v>
      </c>
      <c r="J8" s="25">
        <f t="shared" si="1"/>
        <v>4</v>
      </c>
      <c r="K8" s="23">
        <v>4.0</v>
      </c>
      <c r="L8" s="23">
        <v>0.0</v>
      </c>
      <c r="M8" s="25">
        <f t="shared" si="2"/>
        <v>4</v>
      </c>
      <c r="N8" s="23">
        <v>4.0</v>
      </c>
      <c r="O8" s="23">
        <v>0.0</v>
      </c>
      <c r="P8" s="23">
        <v>0.0</v>
      </c>
      <c r="Q8" s="23">
        <v>0.0</v>
      </c>
      <c r="R8" s="23">
        <v>0.0</v>
      </c>
      <c r="S8" s="26">
        <f t="shared" si="3"/>
        <v>4</v>
      </c>
      <c r="T8" s="23">
        <v>4.0</v>
      </c>
      <c r="U8" s="23">
        <v>0.0</v>
      </c>
      <c r="V8" s="23">
        <v>0.0</v>
      </c>
      <c r="W8" s="23">
        <v>0.0</v>
      </c>
      <c r="X8" s="26">
        <f t="shared" si="4"/>
        <v>4</v>
      </c>
    </row>
    <row r="9">
      <c r="A9" s="20" t="s">
        <v>30</v>
      </c>
      <c r="B9" s="21">
        <v>1.0</v>
      </c>
      <c r="C9" s="22">
        <v>0.0</v>
      </c>
      <c r="D9" s="22">
        <v>1.0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5">
        <f t="shared" si="1"/>
        <v>1</v>
      </c>
      <c r="K9" s="23">
        <v>1.0</v>
      </c>
      <c r="L9" s="23">
        <v>0.0</v>
      </c>
      <c r="M9" s="25">
        <f t="shared" si="2"/>
        <v>1</v>
      </c>
      <c r="N9" s="23">
        <v>0.0</v>
      </c>
      <c r="O9" s="23">
        <v>1.0</v>
      </c>
      <c r="P9" s="23">
        <v>0.0</v>
      </c>
      <c r="Q9" s="23">
        <v>0.0</v>
      </c>
      <c r="R9" s="23">
        <v>0.0</v>
      </c>
      <c r="S9" s="26">
        <f t="shared" si="3"/>
        <v>1</v>
      </c>
      <c r="T9" s="23">
        <v>1.0</v>
      </c>
      <c r="U9" s="23">
        <v>0.0</v>
      </c>
      <c r="V9" s="23">
        <v>0.0</v>
      </c>
      <c r="W9" s="23">
        <v>0.0</v>
      </c>
      <c r="X9" s="26">
        <f t="shared" si="4"/>
        <v>1</v>
      </c>
    </row>
    <row r="10">
      <c r="A10" s="20" t="s">
        <v>31</v>
      </c>
      <c r="B10" s="21">
        <v>0.0</v>
      </c>
      <c r="C10" s="22">
        <v>0.0</v>
      </c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5">
        <f t="shared" si="1"/>
        <v>0</v>
      </c>
      <c r="K10" s="23">
        <v>0.0</v>
      </c>
      <c r="L10" s="23">
        <v>0.0</v>
      </c>
      <c r="M10" s="25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6">
        <f t="shared" si="3"/>
        <v>0</v>
      </c>
      <c r="T10" s="23">
        <v>0.0</v>
      </c>
      <c r="U10" s="23">
        <v>0.0</v>
      </c>
      <c r="V10" s="23">
        <v>0.0</v>
      </c>
      <c r="W10" s="23">
        <v>0.0</v>
      </c>
      <c r="X10" s="26">
        <f t="shared" si="4"/>
        <v>0</v>
      </c>
    </row>
    <row r="11">
      <c r="A11" s="20" t="s">
        <v>32</v>
      </c>
      <c r="B11" s="21">
        <v>0.0</v>
      </c>
      <c r="C11" s="22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9.0</v>
      </c>
      <c r="C12" s="22">
        <v>0.0</v>
      </c>
      <c r="D12" s="22">
        <v>8.0</v>
      </c>
      <c r="E12" s="22">
        <v>0.0</v>
      </c>
      <c r="F12" s="22">
        <v>0.0</v>
      </c>
      <c r="G12" s="22">
        <v>0.0</v>
      </c>
      <c r="H12" s="22">
        <v>1.0</v>
      </c>
      <c r="I12" s="22">
        <v>0.0</v>
      </c>
      <c r="J12" s="25">
        <f t="shared" si="1"/>
        <v>9</v>
      </c>
      <c r="K12" s="23">
        <v>9.0</v>
      </c>
      <c r="L12" s="23">
        <v>0.0</v>
      </c>
      <c r="M12" s="25">
        <f t="shared" si="2"/>
        <v>9</v>
      </c>
      <c r="N12" s="23">
        <v>2.0</v>
      </c>
      <c r="O12" s="23">
        <v>2.0</v>
      </c>
      <c r="P12" s="23">
        <v>5.0</v>
      </c>
      <c r="Q12" s="23">
        <v>0.0</v>
      </c>
      <c r="R12" s="23">
        <v>0.0</v>
      </c>
      <c r="S12" s="26">
        <f t="shared" si="3"/>
        <v>9</v>
      </c>
      <c r="T12" s="23">
        <v>8.0</v>
      </c>
      <c r="U12" s="23">
        <v>0.0</v>
      </c>
      <c r="V12" s="23">
        <v>1.0</v>
      </c>
      <c r="W12" s="23">
        <v>0.0</v>
      </c>
      <c r="X12" s="26">
        <f t="shared" si="4"/>
        <v>9</v>
      </c>
    </row>
    <row r="13">
      <c r="A13" s="20" t="s">
        <v>34</v>
      </c>
      <c r="B13" s="21">
        <v>15.0</v>
      </c>
      <c r="C13" s="22">
        <v>2.0</v>
      </c>
      <c r="D13" s="22">
        <v>13.0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5">
        <f t="shared" si="1"/>
        <v>15</v>
      </c>
      <c r="K13" s="23">
        <v>15.0</v>
      </c>
      <c r="L13" s="23">
        <v>0.0</v>
      </c>
      <c r="M13" s="25">
        <f t="shared" si="2"/>
        <v>15</v>
      </c>
      <c r="N13" s="23">
        <v>0.0</v>
      </c>
      <c r="O13" s="23">
        <v>8.0</v>
      </c>
      <c r="P13" s="23">
        <v>6.0</v>
      </c>
      <c r="Q13" s="23">
        <v>1.0</v>
      </c>
      <c r="R13" s="23">
        <v>0.0</v>
      </c>
      <c r="S13" s="26">
        <f t="shared" si="3"/>
        <v>15</v>
      </c>
      <c r="T13" s="23">
        <v>13.0</v>
      </c>
      <c r="U13" s="23">
        <v>0.0</v>
      </c>
      <c r="V13" s="23">
        <v>1.0</v>
      </c>
      <c r="W13" s="23">
        <v>1.0</v>
      </c>
      <c r="X13" s="26">
        <f t="shared" si="4"/>
        <v>15</v>
      </c>
    </row>
    <row r="14">
      <c r="A14" s="20" t="s">
        <v>35</v>
      </c>
      <c r="B14" s="27">
        <v>2.0</v>
      </c>
      <c r="C14" s="22">
        <v>0.0</v>
      </c>
      <c r="D14" s="22">
        <v>2.0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5">
        <f t="shared" si="1"/>
        <v>2</v>
      </c>
      <c r="K14" s="23">
        <v>2.0</v>
      </c>
      <c r="L14" s="23">
        <v>0.0</v>
      </c>
      <c r="M14" s="25">
        <f t="shared" si="2"/>
        <v>2</v>
      </c>
      <c r="N14" s="23">
        <v>2.0</v>
      </c>
      <c r="O14" s="23">
        <v>0.0</v>
      </c>
      <c r="P14" s="23">
        <v>0.0</v>
      </c>
      <c r="Q14" s="23">
        <v>0.0</v>
      </c>
      <c r="R14" s="23">
        <v>0.0</v>
      </c>
      <c r="S14" s="26">
        <f t="shared" si="3"/>
        <v>2</v>
      </c>
      <c r="T14" s="23">
        <v>2.0</v>
      </c>
      <c r="U14" s="23">
        <v>0.0</v>
      </c>
      <c r="V14" s="23">
        <v>0.0</v>
      </c>
      <c r="W14" s="23">
        <v>0.0</v>
      </c>
      <c r="X14" s="26">
        <f t="shared" si="4"/>
        <v>2</v>
      </c>
    </row>
    <row r="15">
      <c r="A15" s="20" t="s">
        <v>36</v>
      </c>
      <c r="B15" s="21">
        <v>0.0</v>
      </c>
      <c r="C15" s="22">
        <v>0.0</v>
      </c>
      <c r="D15" s="22">
        <v>0.0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5">
        <f t="shared" si="1"/>
        <v>0</v>
      </c>
      <c r="K15" s="23">
        <v>0.0</v>
      </c>
      <c r="L15" s="23">
        <v>0.0</v>
      </c>
      <c r="M15" s="25">
        <f t="shared" si="2"/>
        <v>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6">
        <f t="shared" si="3"/>
        <v>0</v>
      </c>
      <c r="T15" s="23">
        <v>0.0</v>
      </c>
      <c r="U15" s="23">
        <v>0.0</v>
      </c>
      <c r="V15" s="23">
        <v>0.0</v>
      </c>
      <c r="W15" s="23">
        <v>0.0</v>
      </c>
      <c r="X15" s="26">
        <f t="shared" si="4"/>
        <v>0</v>
      </c>
    </row>
    <row r="16">
      <c r="A16" s="20" t="s">
        <v>37</v>
      </c>
      <c r="B16" s="21">
        <v>3.0</v>
      </c>
      <c r="C16" s="22">
        <v>1.0</v>
      </c>
      <c r="D16" s="22">
        <v>2.0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5">
        <f t="shared" si="1"/>
        <v>3</v>
      </c>
      <c r="K16" s="23">
        <v>3.0</v>
      </c>
      <c r="L16" s="23">
        <v>0.0</v>
      </c>
      <c r="M16" s="25">
        <f t="shared" si="2"/>
        <v>3</v>
      </c>
      <c r="N16" s="23">
        <v>0.0</v>
      </c>
      <c r="O16" s="23">
        <v>0.0</v>
      </c>
      <c r="P16" s="23">
        <v>3.0</v>
      </c>
      <c r="Q16" s="23">
        <v>0.0</v>
      </c>
      <c r="R16" s="23">
        <v>0.0</v>
      </c>
      <c r="S16" s="26">
        <f t="shared" si="3"/>
        <v>3</v>
      </c>
      <c r="T16" s="23">
        <v>2.0</v>
      </c>
      <c r="U16" s="23">
        <v>0.0</v>
      </c>
      <c r="V16" s="23">
        <v>1.0</v>
      </c>
      <c r="W16" s="23">
        <v>0.0</v>
      </c>
      <c r="X16" s="26">
        <f t="shared" si="4"/>
        <v>3</v>
      </c>
    </row>
    <row r="17">
      <c r="A17" s="20" t="s">
        <v>38</v>
      </c>
      <c r="B17" s="21">
        <v>3.0</v>
      </c>
      <c r="C17" s="22">
        <v>1.0</v>
      </c>
      <c r="D17" s="22">
        <v>2.0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5">
        <f t="shared" si="1"/>
        <v>3</v>
      </c>
      <c r="K17" s="23">
        <v>3.0</v>
      </c>
      <c r="L17" s="23">
        <v>0.0</v>
      </c>
      <c r="M17" s="25">
        <f t="shared" si="2"/>
        <v>3</v>
      </c>
      <c r="N17" s="23">
        <v>0.0</v>
      </c>
      <c r="O17" s="23">
        <v>1.0</v>
      </c>
      <c r="P17" s="23">
        <v>0.0</v>
      </c>
      <c r="Q17" s="23">
        <v>2.0</v>
      </c>
      <c r="R17" s="23">
        <v>0.0</v>
      </c>
      <c r="S17" s="26">
        <f t="shared" si="3"/>
        <v>3</v>
      </c>
      <c r="T17" s="23">
        <v>3.0</v>
      </c>
      <c r="U17" s="23">
        <v>0.0</v>
      </c>
      <c r="V17" s="23">
        <v>0.0</v>
      </c>
      <c r="W17" s="23">
        <v>0.0</v>
      </c>
      <c r="X17" s="26">
        <f t="shared" si="4"/>
        <v>3</v>
      </c>
    </row>
    <row r="18">
      <c r="A18" s="20" t="s">
        <v>39</v>
      </c>
      <c r="B18" s="27">
        <v>31.0</v>
      </c>
      <c r="C18" s="22">
        <v>0.0</v>
      </c>
      <c r="D18" s="22">
        <v>26.0</v>
      </c>
      <c r="E18" s="22">
        <v>0.0</v>
      </c>
      <c r="F18" s="22">
        <v>0.0</v>
      </c>
      <c r="G18" s="22">
        <v>0.0</v>
      </c>
      <c r="H18" s="22">
        <v>5.0</v>
      </c>
      <c r="I18" s="22">
        <v>0.0</v>
      </c>
      <c r="J18" s="25">
        <f t="shared" si="1"/>
        <v>31</v>
      </c>
      <c r="K18" s="23">
        <v>29.0</v>
      </c>
      <c r="L18" s="23">
        <v>2.0</v>
      </c>
      <c r="M18" s="25">
        <f t="shared" si="2"/>
        <v>31</v>
      </c>
      <c r="N18" s="23">
        <v>6.0</v>
      </c>
      <c r="O18" s="23">
        <v>17.0</v>
      </c>
      <c r="P18" s="23">
        <v>4.0</v>
      </c>
      <c r="Q18" s="23">
        <v>1.0</v>
      </c>
      <c r="R18" s="23">
        <v>3.0</v>
      </c>
      <c r="S18" s="26">
        <f t="shared" si="3"/>
        <v>31</v>
      </c>
      <c r="T18" s="23">
        <v>28.0</v>
      </c>
      <c r="U18" s="23">
        <v>1.0</v>
      </c>
      <c r="V18" s="23">
        <v>1.0</v>
      </c>
      <c r="W18" s="23">
        <v>1.0</v>
      </c>
      <c r="X18" s="26">
        <f t="shared" si="4"/>
        <v>31</v>
      </c>
    </row>
    <row r="19">
      <c r="A19" s="20" t="s">
        <v>40</v>
      </c>
      <c r="B19" s="27">
        <v>0.0</v>
      </c>
      <c r="C19" s="22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5">
        <f t="shared" si="1"/>
        <v>0</v>
      </c>
      <c r="K19" s="23">
        <v>0.0</v>
      </c>
      <c r="L19" s="23">
        <v>0.0</v>
      </c>
      <c r="M19" s="25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0</v>
      </c>
      <c r="T19" s="23">
        <v>0.0</v>
      </c>
      <c r="U19" s="23">
        <v>0.0</v>
      </c>
      <c r="V19" s="23">
        <v>0.0</v>
      </c>
      <c r="W19" s="23">
        <v>0.0</v>
      </c>
      <c r="X19" s="26">
        <f t="shared" si="4"/>
        <v>0</v>
      </c>
    </row>
    <row r="20">
      <c r="A20" s="20" t="s">
        <v>41</v>
      </c>
      <c r="B20" s="21">
        <v>0.0</v>
      </c>
      <c r="C20" s="22">
        <v>0.0</v>
      </c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3">
        <v>0.0</v>
      </c>
      <c r="X20" s="26">
        <f t="shared" si="4"/>
        <v>0</v>
      </c>
    </row>
    <row r="21">
      <c r="A21" s="20" t="s">
        <v>42</v>
      </c>
      <c r="B21" s="27">
        <v>2.0</v>
      </c>
      <c r="C21" s="22">
        <v>0.0</v>
      </c>
      <c r="D21" s="22">
        <v>2.0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5">
        <f t="shared" si="1"/>
        <v>2</v>
      </c>
      <c r="K21" s="23">
        <v>2.0</v>
      </c>
      <c r="L21" s="23">
        <v>0.0</v>
      </c>
      <c r="M21" s="25">
        <f t="shared" si="2"/>
        <v>2</v>
      </c>
      <c r="N21" s="23">
        <v>1.0</v>
      </c>
      <c r="O21" s="23">
        <v>0.0</v>
      </c>
      <c r="P21" s="23">
        <v>1.0</v>
      </c>
      <c r="Q21" s="23">
        <v>0.0</v>
      </c>
      <c r="R21" s="23">
        <v>0.0</v>
      </c>
      <c r="S21" s="26">
        <f t="shared" si="3"/>
        <v>2</v>
      </c>
      <c r="T21" s="23">
        <v>2.0</v>
      </c>
      <c r="U21" s="23">
        <v>0.0</v>
      </c>
      <c r="V21" s="23">
        <v>0.0</v>
      </c>
      <c r="W21" s="23">
        <v>0.0</v>
      </c>
      <c r="X21" s="26">
        <f t="shared" si="4"/>
        <v>2</v>
      </c>
    </row>
    <row r="22">
      <c r="A22" s="20" t="s">
        <v>43</v>
      </c>
      <c r="B22" s="27">
        <v>18.0</v>
      </c>
      <c r="C22" s="22">
        <v>0.0</v>
      </c>
      <c r="D22" s="22">
        <v>15.0</v>
      </c>
      <c r="E22" s="22">
        <v>0.0</v>
      </c>
      <c r="F22" s="22">
        <v>0.0</v>
      </c>
      <c r="G22" s="22">
        <v>0.0</v>
      </c>
      <c r="H22" s="22">
        <v>3.0</v>
      </c>
      <c r="I22" s="22">
        <v>0.0</v>
      </c>
      <c r="J22" s="25">
        <f t="shared" si="1"/>
        <v>18</v>
      </c>
      <c r="K22" s="23">
        <v>18.0</v>
      </c>
      <c r="L22" s="23">
        <v>0.0</v>
      </c>
      <c r="M22" s="25">
        <f t="shared" si="2"/>
        <v>18</v>
      </c>
      <c r="N22" s="23">
        <v>10.0</v>
      </c>
      <c r="O22" s="23">
        <v>3.0</v>
      </c>
      <c r="P22" s="23">
        <v>5.0</v>
      </c>
      <c r="Q22" s="23">
        <v>0.0</v>
      </c>
      <c r="R22" s="23">
        <v>0.0</v>
      </c>
      <c r="S22" s="26">
        <f t="shared" si="3"/>
        <v>18</v>
      </c>
      <c r="T22" s="23">
        <v>17.0</v>
      </c>
      <c r="U22" s="23">
        <v>0.0</v>
      </c>
      <c r="V22" s="23">
        <v>1.0</v>
      </c>
      <c r="W22" s="23">
        <v>0.0</v>
      </c>
      <c r="X22" s="26">
        <f t="shared" si="4"/>
        <v>18</v>
      </c>
    </row>
    <row r="23">
      <c r="A23" s="20" t="s">
        <v>44</v>
      </c>
      <c r="B23" s="27">
        <v>11.0</v>
      </c>
      <c r="C23" s="22">
        <v>3.0</v>
      </c>
      <c r="D23" s="22">
        <v>6.0</v>
      </c>
      <c r="E23" s="22">
        <v>0.0</v>
      </c>
      <c r="F23" s="22">
        <v>0.0</v>
      </c>
      <c r="G23" s="22">
        <v>0.0</v>
      </c>
      <c r="H23" s="22">
        <v>2.0</v>
      </c>
      <c r="I23" s="22">
        <v>0.0</v>
      </c>
      <c r="J23" s="25">
        <f t="shared" si="1"/>
        <v>11</v>
      </c>
      <c r="K23" s="23">
        <v>9.0</v>
      </c>
      <c r="L23" s="23">
        <v>2.0</v>
      </c>
      <c r="M23" s="25">
        <f t="shared" si="2"/>
        <v>11</v>
      </c>
      <c r="N23" s="23">
        <v>2.0</v>
      </c>
      <c r="O23" s="23">
        <v>3.0</v>
      </c>
      <c r="P23" s="23">
        <v>5.0</v>
      </c>
      <c r="Q23" s="23">
        <v>1.0</v>
      </c>
      <c r="R23" s="23">
        <v>0.0</v>
      </c>
      <c r="S23" s="26">
        <f t="shared" si="3"/>
        <v>11</v>
      </c>
      <c r="T23" s="23">
        <v>10.0</v>
      </c>
      <c r="U23" s="23">
        <v>0.0</v>
      </c>
      <c r="V23" s="23">
        <v>1.0</v>
      </c>
      <c r="W23" s="23">
        <v>0.0</v>
      </c>
      <c r="X23" s="26">
        <f t="shared" si="4"/>
        <v>11</v>
      </c>
    </row>
    <row r="24">
      <c r="A24" s="20" t="s">
        <v>45</v>
      </c>
      <c r="B24" s="27">
        <v>5.0</v>
      </c>
      <c r="C24" s="22">
        <v>0.0</v>
      </c>
      <c r="D24" s="22">
        <v>5.0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5">
        <f t="shared" si="1"/>
        <v>5</v>
      </c>
      <c r="K24" s="23">
        <v>5.0</v>
      </c>
      <c r="L24" s="23">
        <v>0.0</v>
      </c>
      <c r="M24" s="25">
        <f t="shared" si="2"/>
        <v>5</v>
      </c>
      <c r="N24" s="23">
        <v>5.0</v>
      </c>
      <c r="O24" s="23">
        <v>0.0</v>
      </c>
      <c r="P24" s="23">
        <v>0.0</v>
      </c>
      <c r="Q24" s="23">
        <v>0.0</v>
      </c>
      <c r="R24" s="23">
        <v>0.0</v>
      </c>
      <c r="S24" s="26">
        <f t="shared" si="3"/>
        <v>5</v>
      </c>
      <c r="T24" s="23">
        <v>5.0</v>
      </c>
      <c r="U24" s="23">
        <v>0.0</v>
      </c>
      <c r="V24" s="23">
        <v>0.0</v>
      </c>
      <c r="W24" s="23">
        <v>0.0</v>
      </c>
      <c r="X24" s="26">
        <f t="shared" si="4"/>
        <v>5</v>
      </c>
    </row>
    <row r="25">
      <c r="A25" s="20" t="s">
        <v>46</v>
      </c>
      <c r="B25" s="27">
        <v>12.0</v>
      </c>
      <c r="C25" s="22">
        <v>3.0</v>
      </c>
      <c r="D25" s="22">
        <v>7.0</v>
      </c>
      <c r="E25" s="22">
        <v>0.0</v>
      </c>
      <c r="F25" s="22">
        <v>0.0</v>
      </c>
      <c r="G25" s="22">
        <v>0.0</v>
      </c>
      <c r="H25" s="22">
        <v>2.0</v>
      </c>
      <c r="I25" s="22">
        <v>0.0</v>
      </c>
      <c r="J25" s="25">
        <f t="shared" si="1"/>
        <v>12</v>
      </c>
      <c r="K25" s="23">
        <v>10.0</v>
      </c>
      <c r="L25" s="23">
        <v>2.0</v>
      </c>
      <c r="M25" s="25">
        <f t="shared" si="2"/>
        <v>12</v>
      </c>
      <c r="N25" s="23">
        <v>1.0</v>
      </c>
      <c r="O25" s="23">
        <v>7.0</v>
      </c>
      <c r="P25" s="23">
        <v>4.0</v>
      </c>
      <c r="Q25" s="23">
        <v>0.0</v>
      </c>
      <c r="R25" s="23">
        <v>0.0</v>
      </c>
      <c r="S25" s="26">
        <f t="shared" si="3"/>
        <v>12</v>
      </c>
      <c r="T25" s="23">
        <v>10.0</v>
      </c>
      <c r="U25" s="23">
        <v>0.0</v>
      </c>
      <c r="V25" s="23">
        <v>2.0</v>
      </c>
      <c r="W25" s="23">
        <v>0.0</v>
      </c>
      <c r="X25" s="26">
        <f t="shared" si="4"/>
        <v>12</v>
      </c>
    </row>
    <row r="26">
      <c r="A26" s="20" t="s">
        <v>47</v>
      </c>
      <c r="B26" s="27">
        <v>11.0</v>
      </c>
      <c r="C26" s="22">
        <v>2.0</v>
      </c>
      <c r="D26" s="22">
        <v>5.0</v>
      </c>
      <c r="E26" s="22">
        <v>0.0</v>
      </c>
      <c r="F26" s="22">
        <v>0.0</v>
      </c>
      <c r="G26" s="22">
        <v>0.0</v>
      </c>
      <c r="H26" s="22">
        <v>4.0</v>
      </c>
      <c r="I26" s="22">
        <v>0.0</v>
      </c>
      <c r="J26" s="25">
        <f t="shared" si="1"/>
        <v>11</v>
      </c>
      <c r="K26" s="23">
        <v>11.0</v>
      </c>
      <c r="L26" s="23">
        <v>0.0</v>
      </c>
      <c r="M26" s="25">
        <f t="shared" si="2"/>
        <v>11</v>
      </c>
      <c r="N26" s="23">
        <v>0.0</v>
      </c>
      <c r="O26" s="23">
        <v>11.0</v>
      </c>
      <c r="P26" s="23">
        <v>0.0</v>
      </c>
      <c r="Q26" s="23">
        <v>0.0</v>
      </c>
      <c r="R26" s="23">
        <v>0.0</v>
      </c>
      <c r="S26" s="26">
        <f t="shared" si="3"/>
        <v>11</v>
      </c>
      <c r="T26" s="23">
        <v>10.0</v>
      </c>
      <c r="U26" s="23">
        <v>0.0</v>
      </c>
      <c r="V26" s="23">
        <v>0.0</v>
      </c>
      <c r="W26" s="23">
        <v>1.0</v>
      </c>
      <c r="X26" s="26">
        <f t="shared" si="4"/>
        <v>11</v>
      </c>
    </row>
    <row r="27">
      <c r="A27" s="20" t="s">
        <v>48</v>
      </c>
      <c r="B27" s="21">
        <v>0.0</v>
      </c>
      <c r="C27" s="22">
        <v>0.0</v>
      </c>
      <c r="D27" s="22">
        <v>0.0</v>
      </c>
      <c r="E27" s="22">
        <v>0.0</v>
      </c>
      <c r="F27" s="22">
        <v>0.0</v>
      </c>
      <c r="G27" s="22">
        <v>0.0</v>
      </c>
      <c r="H27" s="22">
        <v>0.0</v>
      </c>
      <c r="I27" s="22">
        <v>0.0</v>
      </c>
      <c r="J27" s="25">
        <f t="shared" si="1"/>
        <v>0</v>
      </c>
      <c r="K27" s="23">
        <v>0.0</v>
      </c>
      <c r="L27" s="23">
        <v>0.0</v>
      </c>
      <c r="M27" s="25">
        <f t="shared" si="2"/>
        <v>0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6">
        <f t="shared" si="3"/>
        <v>0</v>
      </c>
      <c r="T27" s="23">
        <v>0.0</v>
      </c>
      <c r="U27" s="23">
        <v>0.0</v>
      </c>
      <c r="V27" s="23">
        <v>0.0</v>
      </c>
      <c r="W27" s="23">
        <v>0.0</v>
      </c>
      <c r="X27" s="26">
        <f t="shared" si="4"/>
        <v>0</v>
      </c>
    </row>
    <row r="28">
      <c r="A28" s="20" t="s">
        <v>49</v>
      </c>
      <c r="B28" s="21">
        <v>4.0</v>
      </c>
      <c r="C28" s="22">
        <v>0.0</v>
      </c>
      <c r="D28" s="22">
        <v>2.0</v>
      </c>
      <c r="E28" s="22">
        <v>0.0</v>
      </c>
      <c r="F28" s="22">
        <v>0.0</v>
      </c>
      <c r="G28" s="22">
        <v>0.0</v>
      </c>
      <c r="H28" s="22">
        <v>2.0</v>
      </c>
      <c r="I28" s="22">
        <v>0.0</v>
      </c>
      <c r="J28" s="25">
        <f t="shared" si="1"/>
        <v>4</v>
      </c>
      <c r="K28" s="23">
        <v>4.0</v>
      </c>
      <c r="L28" s="23">
        <v>0.0</v>
      </c>
      <c r="M28" s="25">
        <f t="shared" si="2"/>
        <v>4</v>
      </c>
      <c r="N28" s="23">
        <v>0.0</v>
      </c>
      <c r="O28" s="23">
        <v>3.0</v>
      </c>
      <c r="P28" s="23">
        <v>1.0</v>
      </c>
      <c r="Q28" s="23">
        <v>0.0</v>
      </c>
      <c r="R28" s="23">
        <v>0.0</v>
      </c>
      <c r="S28" s="26">
        <f t="shared" si="3"/>
        <v>4</v>
      </c>
      <c r="T28" s="23">
        <v>3.0</v>
      </c>
      <c r="U28" s="23">
        <v>0.0</v>
      </c>
      <c r="V28" s="23">
        <v>1.0</v>
      </c>
      <c r="W28" s="23">
        <v>0.0</v>
      </c>
      <c r="X28" s="26">
        <f t="shared" si="4"/>
        <v>4</v>
      </c>
    </row>
    <row r="29">
      <c r="A29" s="20" t="s">
        <v>50</v>
      </c>
      <c r="B29" s="21">
        <v>4.0</v>
      </c>
      <c r="C29" s="22">
        <v>1.0</v>
      </c>
      <c r="D29" s="22">
        <v>3.0</v>
      </c>
      <c r="E29" s="22">
        <v>0.0</v>
      </c>
      <c r="F29" s="22">
        <v>0.0</v>
      </c>
      <c r="G29" s="22">
        <v>0.0</v>
      </c>
      <c r="H29" s="22">
        <v>0.0</v>
      </c>
      <c r="I29" s="22">
        <v>0.0</v>
      </c>
      <c r="J29" s="25">
        <f t="shared" si="1"/>
        <v>4</v>
      </c>
      <c r="K29" s="23">
        <v>4.0</v>
      </c>
      <c r="L29" s="23">
        <v>0.0</v>
      </c>
      <c r="M29" s="25">
        <f t="shared" si="2"/>
        <v>4</v>
      </c>
      <c r="N29" s="23">
        <v>0.0</v>
      </c>
      <c r="O29" s="23">
        <v>3.0</v>
      </c>
      <c r="P29" s="23">
        <v>1.0</v>
      </c>
      <c r="Q29" s="23">
        <v>0.0</v>
      </c>
      <c r="R29" s="23">
        <v>0.0</v>
      </c>
      <c r="S29" s="26">
        <f t="shared" si="3"/>
        <v>4</v>
      </c>
      <c r="T29" s="23">
        <v>4.0</v>
      </c>
      <c r="U29" s="23">
        <v>0.0</v>
      </c>
      <c r="V29" s="23">
        <v>0.0</v>
      </c>
      <c r="W29" s="23">
        <v>0.0</v>
      </c>
      <c r="X29" s="26">
        <f t="shared" si="4"/>
        <v>4</v>
      </c>
    </row>
    <row r="30">
      <c r="A30" s="20" t="s">
        <v>51</v>
      </c>
      <c r="B30" s="27">
        <v>0.0</v>
      </c>
      <c r="C30" s="22">
        <v>0.0</v>
      </c>
      <c r="D30" s="22">
        <v>0.0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5">
        <f t="shared" si="1"/>
        <v>0</v>
      </c>
      <c r="K30" s="23">
        <v>0.0</v>
      </c>
      <c r="L30" s="23">
        <v>0.0</v>
      </c>
      <c r="M30" s="25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6">
        <f t="shared" si="3"/>
        <v>0</v>
      </c>
      <c r="T30" s="23">
        <v>0.0</v>
      </c>
      <c r="U30" s="23">
        <v>0.0</v>
      </c>
      <c r="V30" s="23">
        <v>0.0</v>
      </c>
      <c r="W30" s="23">
        <v>0.0</v>
      </c>
      <c r="X30" s="26">
        <f t="shared" si="4"/>
        <v>0</v>
      </c>
    </row>
    <row r="31">
      <c r="A31" s="20" t="s">
        <v>52</v>
      </c>
      <c r="B31" s="27">
        <v>20.0</v>
      </c>
      <c r="C31" s="22">
        <v>0.0</v>
      </c>
      <c r="D31" s="22">
        <v>20.0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5">
        <f t="shared" si="1"/>
        <v>20</v>
      </c>
      <c r="K31" s="23">
        <v>20.0</v>
      </c>
      <c r="L31" s="23">
        <v>0.0</v>
      </c>
      <c r="M31" s="25">
        <f t="shared" si="2"/>
        <v>20</v>
      </c>
      <c r="N31" s="23">
        <v>0.0</v>
      </c>
      <c r="O31" s="23">
        <v>1.0</v>
      </c>
      <c r="P31" s="23">
        <v>19.0</v>
      </c>
      <c r="Q31" s="23">
        <v>0.0</v>
      </c>
      <c r="R31" s="23">
        <v>0.0</v>
      </c>
      <c r="S31" s="26">
        <f t="shared" si="3"/>
        <v>20</v>
      </c>
      <c r="T31" s="23">
        <v>15.0</v>
      </c>
      <c r="U31" s="23">
        <v>0.0</v>
      </c>
      <c r="V31" s="23">
        <v>2.0</v>
      </c>
      <c r="W31" s="23">
        <v>3.0</v>
      </c>
      <c r="X31" s="26">
        <f t="shared" si="4"/>
        <v>20</v>
      </c>
    </row>
    <row r="32">
      <c r="A32" s="20" t="s">
        <v>53</v>
      </c>
      <c r="B32" s="21">
        <v>6.0</v>
      </c>
      <c r="C32" s="22">
        <v>0.0</v>
      </c>
      <c r="D32" s="22">
        <v>4.0</v>
      </c>
      <c r="E32" s="22">
        <v>0.0</v>
      </c>
      <c r="F32" s="22">
        <v>0.0</v>
      </c>
      <c r="G32" s="22">
        <v>0.0</v>
      </c>
      <c r="H32" s="22">
        <v>2.0</v>
      </c>
      <c r="I32" s="22">
        <v>0.0</v>
      </c>
      <c r="J32" s="25">
        <f t="shared" si="1"/>
        <v>6</v>
      </c>
      <c r="K32" s="23">
        <v>6.0</v>
      </c>
      <c r="L32" s="23">
        <v>0.0</v>
      </c>
      <c r="M32" s="25">
        <f t="shared" si="2"/>
        <v>6</v>
      </c>
      <c r="N32" s="23">
        <v>1.0</v>
      </c>
      <c r="O32" s="23">
        <v>1.0</v>
      </c>
      <c r="P32" s="23">
        <v>2.0</v>
      </c>
      <c r="Q32" s="23">
        <v>1.0</v>
      </c>
      <c r="R32" s="23">
        <v>1.0</v>
      </c>
      <c r="S32" s="26">
        <f t="shared" si="3"/>
        <v>6</v>
      </c>
      <c r="T32" s="23">
        <v>4.0</v>
      </c>
      <c r="U32" s="23">
        <v>0.0</v>
      </c>
      <c r="V32" s="23">
        <v>2.0</v>
      </c>
      <c r="W32" s="23">
        <v>0.0</v>
      </c>
      <c r="X32" s="26">
        <f t="shared" si="4"/>
        <v>6</v>
      </c>
    </row>
    <row r="33">
      <c r="A33" s="20" t="s">
        <v>54</v>
      </c>
      <c r="B33" s="21">
        <v>2.0</v>
      </c>
      <c r="C33" s="22">
        <v>1.0</v>
      </c>
      <c r="D33" s="22">
        <v>1.0</v>
      </c>
      <c r="E33" s="22">
        <v>0.0</v>
      </c>
      <c r="F33" s="22">
        <v>0.0</v>
      </c>
      <c r="G33" s="22">
        <v>0.0</v>
      </c>
      <c r="H33" s="22">
        <v>0.0</v>
      </c>
      <c r="I33" s="22">
        <v>0.0</v>
      </c>
      <c r="J33" s="25">
        <f t="shared" si="1"/>
        <v>2</v>
      </c>
      <c r="K33" s="23">
        <v>2.0</v>
      </c>
      <c r="L33" s="23">
        <v>0.0</v>
      </c>
      <c r="M33" s="25">
        <f t="shared" si="2"/>
        <v>2</v>
      </c>
      <c r="N33" s="23">
        <v>0.0</v>
      </c>
      <c r="O33" s="23">
        <v>0.0</v>
      </c>
      <c r="P33" s="23">
        <v>2.0</v>
      </c>
      <c r="Q33" s="23">
        <v>0.0</v>
      </c>
      <c r="R33" s="23">
        <v>0.0</v>
      </c>
      <c r="S33" s="26">
        <f t="shared" si="3"/>
        <v>2</v>
      </c>
      <c r="T33" s="23">
        <v>2.0</v>
      </c>
      <c r="U33" s="23">
        <v>0.0</v>
      </c>
      <c r="V33" s="23">
        <v>0.0</v>
      </c>
      <c r="W33" s="23">
        <v>0.0</v>
      </c>
      <c r="X33" s="26">
        <f t="shared" si="4"/>
        <v>2</v>
      </c>
    </row>
    <row r="34">
      <c r="A34" s="20" t="s">
        <v>55</v>
      </c>
      <c r="B34" s="27">
        <v>3.0</v>
      </c>
      <c r="C34" s="22">
        <v>1.0</v>
      </c>
      <c r="D34" s="22">
        <v>2.0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5">
        <f t="shared" si="1"/>
        <v>3</v>
      </c>
      <c r="K34" s="23">
        <v>3.0</v>
      </c>
      <c r="L34" s="23">
        <v>0.0</v>
      </c>
      <c r="M34" s="25">
        <f t="shared" si="2"/>
        <v>3</v>
      </c>
      <c r="N34" s="23">
        <v>0.0</v>
      </c>
      <c r="O34" s="23">
        <v>0.0</v>
      </c>
      <c r="P34" s="23">
        <v>2.0</v>
      </c>
      <c r="Q34" s="23">
        <v>1.0</v>
      </c>
      <c r="R34" s="23">
        <v>0.0</v>
      </c>
      <c r="S34" s="26">
        <f t="shared" si="3"/>
        <v>3</v>
      </c>
      <c r="T34" s="23">
        <v>3.0</v>
      </c>
      <c r="U34" s="23">
        <v>0.0</v>
      </c>
      <c r="V34" s="23">
        <v>0.0</v>
      </c>
      <c r="W34" s="23">
        <v>0.0</v>
      </c>
      <c r="X34" s="26">
        <f t="shared" si="4"/>
        <v>3</v>
      </c>
    </row>
    <row r="35">
      <c r="A35" s="20" t="s">
        <v>56</v>
      </c>
      <c r="B35" s="27">
        <v>0.0</v>
      </c>
      <c r="C35" s="22">
        <v>0.0</v>
      </c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6.0</v>
      </c>
      <c r="C36" s="22">
        <v>1.0</v>
      </c>
      <c r="D36" s="22">
        <v>5.0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5">
        <f t="shared" si="1"/>
        <v>6</v>
      </c>
      <c r="K36" s="23">
        <v>6.0</v>
      </c>
      <c r="L36" s="23">
        <v>0.0</v>
      </c>
      <c r="M36" s="25">
        <f t="shared" si="2"/>
        <v>6</v>
      </c>
      <c r="N36" s="23">
        <v>0.0</v>
      </c>
      <c r="O36" s="23">
        <v>0.0</v>
      </c>
      <c r="P36" s="23">
        <v>6.0</v>
      </c>
      <c r="Q36" s="23">
        <v>0.0</v>
      </c>
      <c r="R36" s="23">
        <v>0.0</v>
      </c>
      <c r="S36" s="26">
        <f t="shared" si="3"/>
        <v>6</v>
      </c>
      <c r="T36" s="23">
        <v>3.0</v>
      </c>
      <c r="U36" s="23">
        <v>0.0</v>
      </c>
      <c r="V36" s="23">
        <v>3.0</v>
      </c>
      <c r="W36" s="23">
        <v>0.0</v>
      </c>
      <c r="X36" s="26">
        <f t="shared" si="4"/>
        <v>6</v>
      </c>
    </row>
    <row r="37">
      <c r="A37" s="20" t="s">
        <v>58</v>
      </c>
      <c r="B37" s="21">
        <v>0.0</v>
      </c>
      <c r="C37" s="22">
        <v>0.0</v>
      </c>
      <c r="D37" s="22">
        <v>0.0</v>
      </c>
      <c r="E37" s="22">
        <v>0.0</v>
      </c>
      <c r="F37" s="22">
        <v>0.0</v>
      </c>
      <c r="G37" s="22">
        <v>0.0</v>
      </c>
      <c r="H37" s="22">
        <v>0.0</v>
      </c>
      <c r="I37" s="22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2">
        <v>0.0</v>
      </c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5">
        <f t="shared" si="1"/>
        <v>0</v>
      </c>
      <c r="K38" s="23">
        <v>0.0</v>
      </c>
      <c r="L38" s="23">
        <v>0.0</v>
      </c>
      <c r="M38" s="25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6">
        <f t="shared" si="3"/>
        <v>0</v>
      </c>
      <c r="T38" s="23">
        <v>0.0</v>
      </c>
      <c r="U38" s="23">
        <v>0.0</v>
      </c>
      <c r="V38" s="23">
        <v>0.0</v>
      </c>
      <c r="W38" s="23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/>
      <c r="C39" s="22"/>
      <c r="D39" s="22"/>
      <c r="E39" s="22"/>
      <c r="F39" s="22"/>
      <c r="G39" s="22"/>
      <c r="H39" s="22"/>
      <c r="I39" s="22"/>
      <c r="J39" s="25"/>
      <c r="K39" s="23"/>
      <c r="L39" s="23"/>
      <c r="M39" s="25"/>
      <c r="N39" s="23"/>
      <c r="O39" s="23"/>
      <c r="P39" s="23"/>
      <c r="Q39" s="23"/>
      <c r="R39" s="23"/>
      <c r="S39" s="26"/>
      <c r="T39" s="23"/>
      <c r="U39" s="23"/>
      <c r="V39" s="23"/>
      <c r="W39" s="23"/>
      <c r="X39" s="26"/>
      <c r="Y39" s="30"/>
      <c r="Z39" s="30"/>
    </row>
    <row r="40">
      <c r="A40" s="20" t="s">
        <v>61</v>
      </c>
      <c r="B40" s="28">
        <v>0.0</v>
      </c>
      <c r="C40" s="22">
        <v>0.0</v>
      </c>
      <c r="D40" s="22">
        <v>0.0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5">
        <f t="shared" ref="J40:J65" si="5">sum(C40:I40)</f>
        <v>0</v>
      </c>
      <c r="K40" s="23">
        <v>0.0</v>
      </c>
      <c r="L40" s="23">
        <v>0.0</v>
      </c>
      <c r="M40" s="25">
        <f t="shared" ref="M40:M65" si="6">sum(K40:L40)</f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6">
        <f t="shared" ref="S40:S65" si="7">sum(N40:R40)</f>
        <v>0</v>
      </c>
      <c r="T40" s="23">
        <v>0.0</v>
      </c>
      <c r="U40" s="23">
        <v>0.0</v>
      </c>
      <c r="V40" s="23">
        <v>0.0</v>
      </c>
      <c r="W40" s="23">
        <v>0.0</v>
      </c>
      <c r="X40" s="26">
        <f t="shared" ref="X40:X65" si="8">sum(T40:W40)</f>
        <v>0</v>
      </c>
      <c r="Y40" s="30"/>
      <c r="Z40" s="30"/>
    </row>
    <row r="41">
      <c r="A41" s="20" t="s">
        <v>62</v>
      </c>
      <c r="B41" s="27">
        <v>24.0</v>
      </c>
      <c r="C41" s="22">
        <v>0.0</v>
      </c>
      <c r="D41" s="22">
        <v>24.0</v>
      </c>
      <c r="E41" s="22">
        <v>0.0</v>
      </c>
      <c r="F41" s="22">
        <v>0.0</v>
      </c>
      <c r="G41" s="22">
        <v>0.0</v>
      </c>
      <c r="H41" s="22">
        <v>0.0</v>
      </c>
      <c r="I41" s="22">
        <v>0.0</v>
      </c>
      <c r="J41" s="25">
        <f t="shared" si="5"/>
        <v>24</v>
      </c>
      <c r="K41" s="23">
        <v>24.0</v>
      </c>
      <c r="L41" s="23">
        <v>0.0</v>
      </c>
      <c r="M41" s="25">
        <f t="shared" si="6"/>
        <v>24</v>
      </c>
      <c r="N41" s="23">
        <v>4.0</v>
      </c>
      <c r="O41" s="23">
        <v>0.0</v>
      </c>
      <c r="P41" s="23">
        <v>18.0</v>
      </c>
      <c r="Q41" s="23">
        <v>2.0</v>
      </c>
      <c r="R41" s="23">
        <v>0.0</v>
      </c>
      <c r="S41" s="26">
        <f t="shared" si="7"/>
        <v>24</v>
      </c>
      <c r="T41" s="23">
        <v>20.0</v>
      </c>
      <c r="U41" s="23">
        <v>1.0</v>
      </c>
      <c r="V41" s="23">
        <v>2.0</v>
      </c>
      <c r="W41" s="23">
        <v>1.0</v>
      </c>
      <c r="X41" s="26">
        <f t="shared" si="8"/>
        <v>24</v>
      </c>
    </row>
    <row r="42">
      <c r="A42" s="20" t="s">
        <v>63</v>
      </c>
      <c r="B42" s="27">
        <v>0.0</v>
      </c>
      <c r="C42" s="22">
        <v>0.0</v>
      </c>
      <c r="D42" s="22">
        <v>0.0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5">
        <f t="shared" si="5"/>
        <v>0</v>
      </c>
      <c r="K42" s="23">
        <v>0.0</v>
      </c>
      <c r="L42" s="23">
        <v>0.0</v>
      </c>
      <c r="M42" s="25">
        <f t="shared" si="6"/>
        <v>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6">
        <f t="shared" si="7"/>
        <v>0</v>
      </c>
      <c r="T42" s="23">
        <v>0.0</v>
      </c>
      <c r="U42" s="23">
        <v>0.0</v>
      </c>
      <c r="V42" s="23">
        <v>0.0</v>
      </c>
      <c r="W42" s="23">
        <v>0.0</v>
      </c>
      <c r="X42" s="26">
        <f t="shared" si="8"/>
        <v>0</v>
      </c>
    </row>
    <row r="43">
      <c r="A43" s="20" t="s">
        <v>64</v>
      </c>
      <c r="B43" s="27">
        <v>3.0</v>
      </c>
      <c r="C43" s="22">
        <v>0.0</v>
      </c>
      <c r="D43" s="22">
        <v>3.0</v>
      </c>
      <c r="E43" s="22">
        <v>0.0</v>
      </c>
      <c r="F43" s="22">
        <v>0.0</v>
      </c>
      <c r="G43" s="22">
        <v>0.0</v>
      </c>
      <c r="H43" s="22">
        <v>0.0</v>
      </c>
      <c r="I43" s="22">
        <v>0.0</v>
      </c>
      <c r="J43" s="25">
        <f t="shared" si="5"/>
        <v>3</v>
      </c>
      <c r="K43" s="23">
        <v>3.0</v>
      </c>
      <c r="L43" s="23">
        <v>0.0</v>
      </c>
      <c r="M43" s="25">
        <f t="shared" si="6"/>
        <v>3</v>
      </c>
      <c r="N43" s="23">
        <v>0.0</v>
      </c>
      <c r="O43" s="23">
        <v>0.0</v>
      </c>
      <c r="P43" s="23">
        <v>3.0</v>
      </c>
      <c r="Q43" s="23">
        <v>0.0</v>
      </c>
      <c r="R43" s="23">
        <v>0.0</v>
      </c>
      <c r="S43" s="26">
        <f t="shared" si="7"/>
        <v>3</v>
      </c>
      <c r="T43" s="23">
        <v>2.0</v>
      </c>
      <c r="U43" s="23">
        <v>0.0</v>
      </c>
      <c r="V43" s="23">
        <v>1.0</v>
      </c>
      <c r="W43" s="23">
        <v>0.0</v>
      </c>
      <c r="X43" s="26">
        <f t="shared" si="8"/>
        <v>3</v>
      </c>
    </row>
    <row r="44">
      <c r="A44" s="20" t="s">
        <v>65</v>
      </c>
      <c r="B44" s="27">
        <v>0.0</v>
      </c>
      <c r="C44" s="22">
        <v>0.0</v>
      </c>
      <c r="D44" s="22">
        <v>0.0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5">
        <f t="shared" si="5"/>
        <v>0</v>
      </c>
      <c r="K44" s="23">
        <v>0.0</v>
      </c>
      <c r="L44" s="23">
        <v>0.0</v>
      </c>
      <c r="M44" s="25">
        <f t="shared" si="6"/>
        <v>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6">
        <f t="shared" si="7"/>
        <v>0</v>
      </c>
      <c r="T44" s="23">
        <v>0.0</v>
      </c>
      <c r="U44" s="23">
        <v>0.0</v>
      </c>
      <c r="V44" s="23">
        <v>0.0</v>
      </c>
      <c r="W44" s="23">
        <v>0.0</v>
      </c>
      <c r="X44" s="26">
        <f t="shared" si="8"/>
        <v>0</v>
      </c>
    </row>
    <row r="45">
      <c r="A45" s="20" t="s">
        <v>66</v>
      </c>
      <c r="B45" s="27">
        <v>35.0</v>
      </c>
      <c r="C45" s="22">
        <v>1.0</v>
      </c>
      <c r="D45" s="22">
        <v>32.0</v>
      </c>
      <c r="E45" s="22">
        <v>0.0</v>
      </c>
      <c r="F45" s="22">
        <v>0.0</v>
      </c>
      <c r="G45" s="22">
        <v>0.0</v>
      </c>
      <c r="H45" s="22">
        <v>2.0</v>
      </c>
      <c r="I45" s="22">
        <v>0.0</v>
      </c>
      <c r="J45" s="25">
        <f t="shared" si="5"/>
        <v>35</v>
      </c>
      <c r="K45" s="23">
        <v>29.0</v>
      </c>
      <c r="L45" s="23">
        <v>6.0</v>
      </c>
      <c r="M45" s="25">
        <f t="shared" si="6"/>
        <v>35</v>
      </c>
      <c r="N45" s="23">
        <v>14.0</v>
      </c>
      <c r="O45" s="23">
        <v>19.0</v>
      </c>
      <c r="P45" s="23">
        <v>1.0</v>
      </c>
      <c r="Q45" s="23">
        <v>1.0</v>
      </c>
      <c r="R45" s="23">
        <v>0.0</v>
      </c>
      <c r="S45" s="26">
        <f t="shared" si="7"/>
        <v>35</v>
      </c>
      <c r="T45" s="23">
        <v>31.0</v>
      </c>
      <c r="U45" s="23">
        <v>0.0</v>
      </c>
      <c r="V45" s="23">
        <v>3.0</v>
      </c>
      <c r="W45" s="23">
        <v>1.0</v>
      </c>
      <c r="X45" s="26">
        <f t="shared" si="8"/>
        <v>35</v>
      </c>
    </row>
    <row r="46">
      <c r="A46" s="20" t="s">
        <v>67</v>
      </c>
      <c r="B46" s="27">
        <v>0.0</v>
      </c>
      <c r="C46" s="22">
        <v>0.0</v>
      </c>
      <c r="D46" s="22">
        <v>0.0</v>
      </c>
      <c r="E46" s="22">
        <v>0.0</v>
      </c>
      <c r="F46" s="22">
        <v>0.0</v>
      </c>
      <c r="G46" s="22">
        <v>0.0</v>
      </c>
      <c r="H46" s="22">
        <v>0.0</v>
      </c>
      <c r="I46" s="22">
        <v>0.0</v>
      </c>
      <c r="J46" s="25">
        <f t="shared" si="5"/>
        <v>0</v>
      </c>
      <c r="K46" s="23">
        <v>0.0</v>
      </c>
      <c r="L46" s="23">
        <v>0.0</v>
      </c>
      <c r="M46" s="25">
        <f t="shared" si="6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6">
        <f t="shared" si="7"/>
        <v>0</v>
      </c>
      <c r="T46" s="23">
        <v>0.0</v>
      </c>
      <c r="U46" s="23">
        <v>0.0</v>
      </c>
      <c r="V46" s="23">
        <v>0.0</v>
      </c>
      <c r="W46" s="23">
        <v>0.0</v>
      </c>
      <c r="X46" s="26">
        <f t="shared" si="8"/>
        <v>0</v>
      </c>
    </row>
    <row r="47">
      <c r="A47" s="20" t="s">
        <v>68</v>
      </c>
      <c r="B47" s="27">
        <v>6.0</v>
      </c>
      <c r="C47" s="22">
        <v>0.0</v>
      </c>
      <c r="D47" s="22">
        <v>5.0</v>
      </c>
      <c r="E47" s="22">
        <v>0.0</v>
      </c>
      <c r="F47" s="22">
        <v>0.0</v>
      </c>
      <c r="G47" s="22">
        <v>0.0</v>
      </c>
      <c r="H47" s="22">
        <v>1.0</v>
      </c>
      <c r="I47" s="22">
        <v>0.0</v>
      </c>
      <c r="J47" s="25">
        <f t="shared" si="5"/>
        <v>6</v>
      </c>
      <c r="K47" s="23">
        <v>5.0</v>
      </c>
      <c r="L47" s="23">
        <v>1.0</v>
      </c>
      <c r="M47" s="25">
        <f t="shared" si="6"/>
        <v>6</v>
      </c>
      <c r="N47" s="23">
        <v>6.0</v>
      </c>
      <c r="O47" s="23">
        <v>0.0</v>
      </c>
      <c r="P47" s="23">
        <v>0.0</v>
      </c>
      <c r="Q47" s="23">
        <v>0.0</v>
      </c>
      <c r="R47" s="23">
        <v>0.0</v>
      </c>
      <c r="S47" s="26">
        <f t="shared" si="7"/>
        <v>6</v>
      </c>
      <c r="T47" s="23">
        <v>6.0</v>
      </c>
      <c r="U47" s="23">
        <v>0.0</v>
      </c>
      <c r="V47" s="23">
        <v>0.0</v>
      </c>
      <c r="W47" s="23">
        <v>0.0</v>
      </c>
      <c r="X47" s="26">
        <f t="shared" si="8"/>
        <v>6</v>
      </c>
    </row>
    <row r="48">
      <c r="A48" s="20" t="s">
        <v>69</v>
      </c>
      <c r="B48" s="21">
        <v>0.0</v>
      </c>
      <c r="C48" s="22">
        <v>0.0</v>
      </c>
      <c r="D48" s="22">
        <v>0.0</v>
      </c>
      <c r="E48" s="22">
        <v>0.0</v>
      </c>
      <c r="F48" s="22">
        <v>0.0</v>
      </c>
      <c r="G48" s="22">
        <v>0.0</v>
      </c>
      <c r="H48" s="22">
        <v>0.0</v>
      </c>
      <c r="I48" s="22">
        <v>0.0</v>
      </c>
      <c r="J48" s="25">
        <f t="shared" si="5"/>
        <v>0</v>
      </c>
      <c r="K48" s="23">
        <v>0.0</v>
      </c>
      <c r="L48" s="23">
        <v>0.0</v>
      </c>
      <c r="M48" s="25">
        <f t="shared" si="6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6">
        <f t="shared" si="7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8"/>
        <v>0</v>
      </c>
    </row>
    <row r="49">
      <c r="A49" s="20" t="s">
        <v>70</v>
      </c>
      <c r="B49" s="21">
        <v>6.0</v>
      </c>
      <c r="C49" s="22">
        <v>2.0</v>
      </c>
      <c r="D49" s="22">
        <v>4.0</v>
      </c>
      <c r="E49" s="22">
        <v>0.0</v>
      </c>
      <c r="F49" s="22">
        <v>0.0</v>
      </c>
      <c r="G49" s="22">
        <v>0.0</v>
      </c>
      <c r="H49" s="22">
        <v>0.0</v>
      </c>
      <c r="I49" s="22">
        <v>0.0</v>
      </c>
      <c r="J49" s="25">
        <f t="shared" si="5"/>
        <v>6</v>
      </c>
      <c r="K49" s="23">
        <v>6.0</v>
      </c>
      <c r="L49" s="23">
        <v>0.0</v>
      </c>
      <c r="M49" s="25">
        <f t="shared" si="6"/>
        <v>6</v>
      </c>
      <c r="N49" s="23">
        <v>1.0</v>
      </c>
      <c r="O49" s="23">
        <v>5.0</v>
      </c>
      <c r="P49" s="23">
        <v>0.0</v>
      </c>
      <c r="Q49" s="23">
        <v>0.0</v>
      </c>
      <c r="R49" s="23">
        <v>0.0</v>
      </c>
      <c r="S49" s="26">
        <f t="shared" si="7"/>
        <v>6</v>
      </c>
      <c r="T49" s="23">
        <v>6.0</v>
      </c>
      <c r="U49" s="23">
        <v>0.0</v>
      </c>
      <c r="V49" s="23">
        <v>0.0</v>
      </c>
      <c r="W49" s="23">
        <v>0.0</v>
      </c>
      <c r="X49" s="26">
        <f t="shared" si="8"/>
        <v>6</v>
      </c>
    </row>
    <row r="50">
      <c r="A50" s="20" t="s">
        <v>71</v>
      </c>
      <c r="B50" s="21">
        <v>95.0</v>
      </c>
      <c r="C50" s="22">
        <v>22.0</v>
      </c>
      <c r="D50" s="22">
        <v>57.0</v>
      </c>
      <c r="E50" s="22">
        <v>0.0</v>
      </c>
      <c r="F50" s="22">
        <v>0.0</v>
      </c>
      <c r="G50" s="22">
        <v>0.0</v>
      </c>
      <c r="H50" s="22">
        <v>15.0</v>
      </c>
      <c r="I50" s="22">
        <v>0.0</v>
      </c>
      <c r="J50" s="25">
        <f t="shared" si="5"/>
        <v>94</v>
      </c>
      <c r="K50" s="23">
        <v>84.0</v>
      </c>
      <c r="L50" s="23">
        <v>10.0</v>
      </c>
      <c r="M50" s="25">
        <f t="shared" si="6"/>
        <v>94</v>
      </c>
      <c r="N50" s="23">
        <v>17.0</v>
      </c>
      <c r="O50" s="23">
        <v>73.0</v>
      </c>
      <c r="P50" s="23">
        <v>0.0</v>
      </c>
      <c r="Q50" s="23">
        <v>4.0</v>
      </c>
      <c r="R50" s="23">
        <v>0.0</v>
      </c>
      <c r="S50" s="26">
        <f t="shared" si="7"/>
        <v>94</v>
      </c>
      <c r="T50" s="23">
        <v>79.0</v>
      </c>
      <c r="U50" s="23">
        <v>0.0</v>
      </c>
      <c r="V50" s="23">
        <v>11.0</v>
      </c>
      <c r="W50" s="23">
        <v>4.0</v>
      </c>
      <c r="X50" s="26">
        <f t="shared" si="8"/>
        <v>94</v>
      </c>
    </row>
    <row r="51">
      <c r="A51" s="20" t="s">
        <v>72</v>
      </c>
      <c r="B51" s="21">
        <v>1.0</v>
      </c>
      <c r="C51" s="22">
        <v>0.0</v>
      </c>
      <c r="D51" s="22">
        <v>1.0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5">
        <f t="shared" si="5"/>
        <v>1</v>
      </c>
      <c r="K51" s="23">
        <v>1.0</v>
      </c>
      <c r="L51" s="23">
        <v>0.0</v>
      </c>
      <c r="M51" s="25">
        <f t="shared" si="6"/>
        <v>1</v>
      </c>
      <c r="N51" s="23">
        <v>0.0</v>
      </c>
      <c r="O51" s="23">
        <v>1.0</v>
      </c>
      <c r="P51" s="23">
        <v>0.0</v>
      </c>
      <c r="Q51" s="23">
        <v>0.0</v>
      </c>
      <c r="R51" s="23">
        <v>0.0</v>
      </c>
      <c r="S51" s="26">
        <f t="shared" si="7"/>
        <v>1</v>
      </c>
      <c r="T51" s="23">
        <v>1.0</v>
      </c>
      <c r="U51" s="23">
        <v>0.0</v>
      </c>
      <c r="V51" s="23">
        <v>0.0</v>
      </c>
      <c r="W51" s="23">
        <v>0.0</v>
      </c>
      <c r="X51" s="26">
        <f t="shared" si="8"/>
        <v>1</v>
      </c>
    </row>
    <row r="52">
      <c r="A52" s="20" t="s">
        <v>73</v>
      </c>
      <c r="B52" s="31">
        <v>0.0</v>
      </c>
      <c r="C52" s="22">
        <v>0.0</v>
      </c>
      <c r="D52" s="22">
        <v>0.0</v>
      </c>
      <c r="E52" s="22">
        <v>0.0</v>
      </c>
      <c r="F52" s="22">
        <v>0.0</v>
      </c>
      <c r="G52" s="22">
        <v>0.0</v>
      </c>
      <c r="H52" s="22">
        <v>0.0</v>
      </c>
      <c r="I52" s="22">
        <v>0.0</v>
      </c>
      <c r="J52" s="25">
        <f t="shared" si="5"/>
        <v>0</v>
      </c>
      <c r="K52" s="23">
        <v>0.0</v>
      </c>
      <c r="L52" s="23">
        <v>0.0</v>
      </c>
      <c r="M52" s="25">
        <f t="shared" si="6"/>
        <v>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6">
        <f t="shared" si="7"/>
        <v>0</v>
      </c>
      <c r="T52" s="23">
        <v>0.0</v>
      </c>
      <c r="U52" s="23">
        <v>0.0</v>
      </c>
      <c r="V52" s="23">
        <v>0.0</v>
      </c>
      <c r="W52" s="23">
        <v>0.0</v>
      </c>
      <c r="X52" s="26">
        <f t="shared" si="8"/>
        <v>0</v>
      </c>
    </row>
    <row r="53">
      <c r="A53" s="20" t="s">
        <v>74</v>
      </c>
      <c r="B53" s="31">
        <v>60.0</v>
      </c>
      <c r="C53" s="22">
        <v>0.0</v>
      </c>
      <c r="D53" s="22">
        <v>59.0</v>
      </c>
      <c r="E53" s="22">
        <v>0.0</v>
      </c>
      <c r="F53" s="22">
        <v>0.0</v>
      </c>
      <c r="G53" s="22">
        <v>0.0</v>
      </c>
      <c r="H53" s="22">
        <v>1.0</v>
      </c>
      <c r="I53" s="22">
        <v>0.0</v>
      </c>
      <c r="J53" s="25">
        <f t="shared" si="5"/>
        <v>60</v>
      </c>
      <c r="K53" s="23">
        <v>60.0</v>
      </c>
      <c r="L53" s="23">
        <v>0.0</v>
      </c>
      <c r="M53" s="25">
        <f t="shared" si="6"/>
        <v>60</v>
      </c>
      <c r="N53" s="23">
        <v>54.0</v>
      </c>
      <c r="O53" s="23">
        <v>6.0</v>
      </c>
      <c r="P53" s="23">
        <v>0.0</v>
      </c>
      <c r="Q53" s="23">
        <v>0.0</v>
      </c>
      <c r="R53" s="23">
        <v>0.0</v>
      </c>
      <c r="S53" s="26">
        <f t="shared" si="7"/>
        <v>60</v>
      </c>
      <c r="T53" s="23">
        <v>2.0</v>
      </c>
      <c r="U53" s="23">
        <v>0.0</v>
      </c>
      <c r="V53" s="23">
        <v>55.0</v>
      </c>
      <c r="W53" s="23">
        <v>3.0</v>
      </c>
      <c r="X53" s="26">
        <f t="shared" si="8"/>
        <v>60</v>
      </c>
    </row>
    <row r="54">
      <c r="A54" s="20" t="s">
        <v>75</v>
      </c>
      <c r="B54" s="31">
        <v>2.0</v>
      </c>
      <c r="C54" s="22">
        <v>0.0</v>
      </c>
      <c r="D54" s="22">
        <v>2.0</v>
      </c>
      <c r="E54" s="22">
        <v>0.0</v>
      </c>
      <c r="F54" s="22">
        <v>0.0</v>
      </c>
      <c r="G54" s="22">
        <v>0.0</v>
      </c>
      <c r="H54" s="22">
        <v>0.0</v>
      </c>
      <c r="I54" s="22">
        <v>0.0</v>
      </c>
      <c r="J54" s="25">
        <f t="shared" si="5"/>
        <v>2</v>
      </c>
      <c r="K54" s="23">
        <v>2.0</v>
      </c>
      <c r="L54" s="23">
        <v>0.0</v>
      </c>
      <c r="M54" s="25">
        <f t="shared" si="6"/>
        <v>2</v>
      </c>
      <c r="N54" s="23">
        <v>0.0</v>
      </c>
      <c r="O54" s="23">
        <v>0.0</v>
      </c>
      <c r="P54" s="23">
        <v>0.0</v>
      </c>
      <c r="Q54" s="23">
        <v>0.0</v>
      </c>
      <c r="R54" s="23">
        <v>2.0</v>
      </c>
      <c r="S54" s="26">
        <f t="shared" si="7"/>
        <v>2</v>
      </c>
      <c r="T54" s="23">
        <v>2.0</v>
      </c>
      <c r="U54" s="23">
        <v>0.0</v>
      </c>
      <c r="V54" s="23">
        <v>0.0</v>
      </c>
      <c r="W54" s="23">
        <v>0.0</v>
      </c>
      <c r="X54" s="26">
        <f t="shared" si="8"/>
        <v>2</v>
      </c>
    </row>
    <row r="55">
      <c r="A55" s="20" t="s">
        <v>76</v>
      </c>
      <c r="B55" s="31">
        <v>0.0</v>
      </c>
      <c r="C55" s="22">
        <v>0.0</v>
      </c>
      <c r="D55" s="22">
        <v>0.0</v>
      </c>
      <c r="E55" s="22">
        <v>0.0</v>
      </c>
      <c r="F55" s="22">
        <v>0.0</v>
      </c>
      <c r="G55" s="22">
        <v>0.0</v>
      </c>
      <c r="H55" s="22">
        <v>0.0</v>
      </c>
      <c r="I55" s="22">
        <v>0.0</v>
      </c>
      <c r="J55" s="25">
        <f t="shared" si="5"/>
        <v>0</v>
      </c>
      <c r="K55" s="23">
        <v>0.0</v>
      </c>
      <c r="L55" s="23">
        <v>0.0</v>
      </c>
      <c r="M55" s="25">
        <f t="shared" si="6"/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6">
        <f t="shared" si="7"/>
        <v>0</v>
      </c>
      <c r="T55" s="23">
        <v>0.0</v>
      </c>
      <c r="U55" s="23">
        <v>0.0</v>
      </c>
      <c r="V55" s="23">
        <v>0.0</v>
      </c>
      <c r="W55" s="23">
        <v>0.0</v>
      </c>
      <c r="X55" s="26">
        <f t="shared" si="8"/>
        <v>0</v>
      </c>
    </row>
    <row r="56">
      <c r="A56" s="20" t="s">
        <v>77</v>
      </c>
      <c r="B56" s="31">
        <v>5.0</v>
      </c>
      <c r="C56" s="22">
        <v>0.0</v>
      </c>
      <c r="D56" s="22">
        <v>5.0</v>
      </c>
      <c r="E56" s="22">
        <v>0.0</v>
      </c>
      <c r="F56" s="22">
        <v>0.0</v>
      </c>
      <c r="G56" s="22">
        <v>0.0</v>
      </c>
      <c r="H56" s="22">
        <v>0.0</v>
      </c>
      <c r="I56" s="22">
        <v>0.0</v>
      </c>
      <c r="J56" s="25">
        <f t="shared" si="5"/>
        <v>5</v>
      </c>
      <c r="K56" s="23">
        <v>4.0</v>
      </c>
      <c r="L56" s="23">
        <v>1.0</v>
      </c>
      <c r="M56" s="25">
        <f t="shared" si="6"/>
        <v>5</v>
      </c>
      <c r="N56" s="23">
        <v>1.0</v>
      </c>
      <c r="O56" s="23">
        <v>2.0</v>
      </c>
      <c r="P56" s="23">
        <v>1.0</v>
      </c>
      <c r="Q56" s="23">
        <v>0.0</v>
      </c>
      <c r="R56" s="23">
        <v>1.0</v>
      </c>
      <c r="S56" s="26">
        <f t="shared" si="7"/>
        <v>5</v>
      </c>
      <c r="T56" s="23">
        <v>4.0</v>
      </c>
      <c r="U56" s="23">
        <v>0.0</v>
      </c>
      <c r="V56" s="23">
        <v>0.0</v>
      </c>
      <c r="W56" s="23">
        <v>1.0</v>
      </c>
      <c r="X56" s="26">
        <f t="shared" si="8"/>
        <v>5</v>
      </c>
    </row>
    <row r="57">
      <c r="A57" s="20" t="s">
        <v>78</v>
      </c>
      <c r="B57" s="34">
        <v>4.0</v>
      </c>
      <c r="C57" s="22">
        <v>0.0</v>
      </c>
      <c r="D57" s="22">
        <v>4.0</v>
      </c>
      <c r="E57" s="22">
        <v>0.0</v>
      </c>
      <c r="F57" s="22">
        <v>0.0</v>
      </c>
      <c r="G57" s="22">
        <v>0.0</v>
      </c>
      <c r="H57" s="22">
        <v>0.0</v>
      </c>
      <c r="I57" s="22">
        <v>0.0</v>
      </c>
      <c r="J57" s="25">
        <f t="shared" si="5"/>
        <v>4</v>
      </c>
      <c r="K57" s="23">
        <v>4.0</v>
      </c>
      <c r="L57" s="23">
        <v>0.0</v>
      </c>
      <c r="M57" s="25">
        <f t="shared" si="6"/>
        <v>4</v>
      </c>
      <c r="N57" s="23">
        <v>0.0</v>
      </c>
      <c r="O57" s="23">
        <v>0.0</v>
      </c>
      <c r="P57" s="23">
        <v>4.0</v>
      </c>
      <c r="Q57" s="23">
        <v>0.0</v>
      </c>
      <c r="R57" s="23">
        <v>0.0</v>
      </c>
      <c r="S57" s="26">
        <f t="shared" si="7"/>
        <v>4</v>
      </c>
      <c r="T57" s="23">
        <v>3.0</v>
      </c>
      <c r="U57" s="23">
        <v>0.0</v>
      </c>
      <c r="V57" s="23">
        <v>1.0</v>
      </c>
      <c r="W57" s="23">
        <v>0.0</v>
      </c>
      <c r="X57" s="26">
        <f t="shared" si="8"/>
        <v>4</v>
      </c>
    </row>
    <row r="58">
      <c r="A58" s="20" t="s">
        <v>79</v>
      </c>
      <c r="B58" s="31">
        <v>0.0</v>
      </c>
      <c r="C58" s="22">
        <v>0.0</v>
      </c>
      <c r="D58" s="22">
        <v>0.0</v>
      </c>
      <c r="E58" s="22">
        <v>0.0</v>
      </c>
      <c r="F58" s="22">
        <v>0.0</v>
      </c>
      <c r="G58" s="22">
        <v>0.0</v>
      </c>
      <c r="H58" s="22">
        <v>0.0</v>
      </c>
      <c r="I58" s="22">
        <v>0.0</v>
      </c>
      <c r="J58" s="25">
        <f t="shared" si="5"/>
        <v>0</v>
      </c>
      <c r="K58" s="23">
        <v>0.0</v>
      </c>
      <c r="L58" s="23">
        <v>0.0</v>
      </c>
      <c r="M58" s="25">
        <f t="shared" si="6"/>
        <v>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6">
        <f t="shared" si="7"/>
        <v>0</v>
      </c>
      <c r="T58" s="23">
        <v>0.0</v>
      </c>
      <c r="U58" s="23">
        <v>0.0</v>
      </c>
      <c r="V58" s="23">
        <v>0.0</v>
      </c>
      <c r="W58" s="23">
        <v>0.0</v>
      </c>
      <c r="X58" s="26">
        <f t="shared" si="8"/>
        <v>0</v>
      </c>
    </row>
    <row r="59">
      <c r="A59" s="20" t="s">
        <v>80</v>
      </c>
      <c r="B59" s="31">
        <v>0.0</v>
      </c>
      <c r="C59" s="22">
        <v>0.0</v>
      </c>
      <c r="D59" s="22">
        <v>0.0</v>
      </c>
      <c r="E59" s="22">
        <v>0.0</v>
      </c>
      <c r="F59" s="22">
        <v>0.0</v>
      </c>
      <c r="G59" s="22">
        <v>0.0</v>
      </c>
      <c r="H59" s="22">
        <v>0.0</v>
      </c>
      <c r="I59" s="22">
        <v>0.0</v>
      </c>
      <c r="J59" s="25">
        <f t="shared" si="5"/>
        <v>0</v>
      </c>
      <c r="K59" s="23">
        <v>0.0</v>
      </c>
      <c r="L59" s="23">
        <v>0.0</v>
      </c>
      <c r="M59" s="25">
        <f t="shared" si="6"/>
        <v>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6">
        <f t="shared" si="7"/>
        <v>0</v>
      </c>
      <c r="T59" s="23">
        <v>0.0</v>
      </c>
      <c r="U59" s="23">
        <v>0.0</v>
      </c>
      <c r="V59" s="23">
        <v>0.0</v>
      </c>
      <c r="W59" s="23">
        <v>0.0</v>
      </c>
      <c r="X59" s="26">
        <f t="shared" si="8"/>
        <v>0</v>
      </c>
    </row>
    <row r="60">
      <c r="A60" s="20" t="s">
        <v>81</v>
      </c>
      <c r="B60" s="31">
        <v>0.0</v>
      </c>
      <c r="C60" s="22">
        <v>0.0</v>
      </c>
      <c r="D60" s="22">
        <v>0.0</v>
      </c>
      <c r="E60" s="22">
        <v>0.0</v>
      </c>
      <c r="F60" s="22">
        <v>0.0</v>
      </c>
      <c r="G60" s="22">
        <v>0.0</v>
      </c>
      <c r="H60" s="22">
        <v>0.0</v>
      </c>
      <c r="I60" s="22">
        <v>0.0</v>
      </c>
      <c r="J60" s="25">
        <f t="shared" si="5"/>
        <v>0</v>
      </c>
      <c r="K60" s="23">
        <v>0.0</v>
      </c>
      <c r="L60" s="23">
        <v>0.0</v>
      </c>
      <c r="M60" s="25">
        <f t="shared" si="6"/>
        <v>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6">
        <f t="shared" si="7"/>
        <v>0</v>
      </c>
      <c r="T60" s="23">
        <v>0.0</v>
      </c>
      <c r="U60" s="23">
        <v>0.0</v>
      </c>
      <c r="V60" s="23">
        <v>0.0</v>
      </c>
      <c r="W60" s="23">
        <v>0.0</v>
      </c>
      <c r="X60" s="26">
        <f t="shared" si="8"/>
        <v>0</v>
      </c>
    </row>
    <row r="61">
      <c r="A61" s="20" t="s">
        <v>82</v>
      </c>
      <c r="B61" s="31">
        <v>9.0</v>
      </c>
      <c r="C61" s="22">
        <v>1.0</v>
      </c>
      <c r="D61" s="22">
        <v>4.0</v>
      </c>
      <c r="E61" s="22">
        <v>0.0</v>
      </c>
      <c r="F61" s="22">
        <v>0.0</v>
      </c>
      <c r="G61" s="22">
        <v>0.0</v>
      </c>
      <c r="H61" s="22">
        <v>4.0</v>
      </c>
      <c r="I61" s="22">
        <v>0.0</v>
      </c>
      <c r="J61" s="25">
        <f t="shared" si="5"/>
        <v>9</v>
      </c>
      <c r="K61" s="23">
        <v>5.0</v>
      </c>
      <c r="L61" s="23">
        <v>4.0</v>
      </c>
      <c r="M61" s="25">
        <f t="shared" si="6"/>
        <v>9</v>
      </c>
      <c r="N61" s="23">
        <v>0.0</v>
      </c>
      <c r="O61" s="23">
        <v>8.0</v>
      </c>
      <c r="P61" s="23">
        <v>0.0</v>
      </c>
      <c r="Q61" s="23">
        <v>1.0</v>
      </c>
      <c r="R61" s="23">
        <v>0.0</v>
      </c>
      <c r="S61" s="26">
        <f t="shared" si="7"/>
        <v>9</v>
      </c>
      <c r="T61" s="23">
        <v>6.0</v>
      </c>
      <c r="U61" s="23">
        <v>0.0</v>
      </c>
      <c r="V61" s="23">
        <v>3.0</v>
      </c>
      <c r="W61" s="23">
        <v>0.0</v>
      </c>
      <c r="X61" s="26">
        <f t="shared" si="8"/>
        <v>9</v>
      </c>
    </row>
    <row r="62">
      <c r="A62" s="20" t="s">
        <v>83</v>
      </c>
      <c r="B62" s="31">
        <v>1.0</v>
      </c>
      <c r="C62" s="22">
        <v>0.0</v>
      </c>
      <c r="D62" s="22">
        <v>1.0</v>
      </c>
      <c r="E62" s="22">
        <v>0.0</v>
      </c>
      <c r="F62" s="22">
        <v>0.0</v>
      </c>
      <c r="G62" s="22">
        <v>0.0</v>
      </c>
      <c r="H62" s="22">
        <v>0.0</v>
      </c>
      <c r="I62" s="22">
        <v>0.0</v>
      </c>
      <c r="J62" s="25">
        <f t="shared" si="5"/>
        <v>1</v>
      </c>
      <c r="K62" s="23">
        <v>1.0</v>
      </c>
      <c r="L62" s="23">
        <v>0.0</v>
      </c>
      <c r="M62" s="25">
        <f t="shared" si="6"/>
        <v>1</v>
      </c>
      <c r="N62" s="23">
        <v>0.0</v>
      </c>
      <c r="O62" s="23">
        <v>0.0</v>
      </c>
      <c r="P62" s="23">
        <v>1.0</v>
      </c>
      <c r="Q62" s="23">
        <v>0.0</v>
      </c>
      <c r="R62" s="23">
        <v>0.0</v>
      </c>
      <c r="S62" s="26">
        <f t="shared" si="7"/>
        <v>1</v>
      </c>
      <c r="T62" s="23">
        <v>1.0</v>
      </c>
      <c r="U62" s="23">
        <v>0.0</v>
      </c>
      <c r="V62" s="23">
        <v>0.0</v>
      </c>
      <c r="W62" s="23">
        <v>0.0</v>
      </c>
      <c r="X62" s="26">
        <f t="shared" si="8"/>
        <v>1</v>
      </c>
    </row>
    <row r="63">
      <c r="A63" s="20" t="s">
        <v>84</v>
      </c>
      <c r="B63" s="31">
        <v>6.0</v>
      </c>
      <c r="C63" s="22">
        <v>0.0</v>
      </c>
      <c r="D63" s="22">
        <v>6.0</v>
      </c>
      <c r="E63" s="22">
        <v>0.0</v>
      </c>
      <c r="F63" s="22">
        <v>0.0</v>
      </c>
      <c r="G63" s="22">
        <v>0.0</v>
      </c>
      <c r="H63" s="22">
        <v>0.0</v>
      </c>
      <c r="I63" s="22">
        <v>0.0</v>
      </c>
      <c r="J63" s="25">
        <f t="shared" si="5"/>
        <v>6</v>
      </c>
      <c r="K63" s="23">
        <v>6.0</v>
      </c>
      <c r="L63" s="23">
        <v>0.0</v>
      </c>
      <c r="M63" s="25">
        <f t="shared" si="6"/>
        <v>6</v>
      </c>
      <c r="N63" s="23">
        <v>5.0</v>
      </c>
      <c r="O63" s="23">
        <v>0.0</v>
      </c>
      <c r="P63" s="23">
        <v>1.0</v>
      </c>
      <c r="Q63" s="23">
        <v>0.0</v>
      </c>
      <c r="R63" s="23">
        <v>0.0</v>
      </c>
      <c r="S63" s="26">
        <f t="shared" si="7"/>
        <v>6</v>
      </c>
      <c r="T63" s="23">
        <v>6.0</v>
      </c>
      <c r="U63" s="23">
        <v>0.0</v>
      </c>
      <c r="V63" s="23">
        <v>0.0</v>
      </c>
      <c r="W63" s="23">
        <v>0.0</v>
      </c>
      <c r="X63" s="26">
        <f t="shared" si="8"/>
        <v>6</v>
      </c>
    </row>
    <row r="64">
      <c r="A64" s="20" t="s">
        <v>85</v>
      </c>
      <c r="B64" s="31">
        <v>0.0</v>
      </c>
      <c r="C64" s="22">
        <v>0.0</v>
      </c>
      <c r="D64" s="22">
        <v>0.0</v>
      </c>
      <c r="E64" s="22">
        <v>0.0</v>
      </c>
      <c r="F64" s="22">
        <v>0.0</v>
      </c>
      <c r="G64" s="22">
        <v>0.0</v>
      </c>
      <c r="H64" s="22">
        <v>0.0</v>
      </c>
      <c r="I64" s="22">
        <v>0.0</v>
      </c>
      <c r="J64" s="25">
        <f t="shared" si="5"/>
        <v>0</v>
      </c>
      <c r="K64" s="23">
        <v>0.0</v>
      </c>
      <c r="L64" s="23">
        <v>0.0</v>
      </c>
      <c r="M64" s="25">
        <f t="shared" si="6"/>
        <v>0</v>
      </c>
      <c r="N64" s="23">
        <v>0.0</v>
      </c>
      <c r="O64" s="23">
        <v>0.0</v>
      </c>
      <c r="P64" s="23">
        <v>0.0</v>
      </c>
      <c r="Q64" s="23">
        <v>0.0</v>
      </c>
      <c r="R64" s="23">
        <v>0.0</v>
      </c>
      <c r="S64" s="26">
        <f t="shared" si="7"/>
        <v>0</v>
      </c>
      <c r="T64" s="23">
        <v>0.0</v>
      </c>
      <c r="U64" s="23">
        <v>0.0</v>
      </c>
      <c r="V64" s="23">
        <v>0.0</v>
      </c>
      <c r="W64" s="23">
        <v>0.0</v>
      </c>
      <c r="X64" s="26">
        <f t="shared" si="8"/>
        <v>0</v>
      </c>
    </row>
    <row r="65">
      <c r="A65" s="20" t="s">
        <v>86</v>
      </c>
      <c r="B65" s="31">
        <v>0.0</v>
      </c>
      <c r="C65" s="22">
        <v>0.0</v>
      </c>
      <c r="D65" s="22">
        <v>0.0</v>
      </c>
      <c r="E65" s="22">
        <v>0.0</v>
      </c>
      <c r="F65" s="22">
        <v>0.0</v>
      </c>
      <c r="G65" s="22">
        <v>0.0</v>
      </c>
      <c r="H65" s="22">
        <v>0.0</v>
      </c>
      <c r="I65" s="22">
        <v>0.0</v>
      </c>
      <c r="J65" s="25">
        <f t="shared" si="5"/>
        <v>0</v>
      </c>
      <c r="K65" s="23">
        <v>0.0</v>
      </c>
      <c r="L65" s="23">
        <v>0.0</v>
      </c>
      <c r="M65" s="25">
        <f t="shared" si="6"/>
        <v>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6">
        <f t="shared" si="7"/>
        <v>0</v>
      </c>
      <c r="T65" s="23">
        <v>0.0</v>
      </c>
      <c r="U65" s="23">
        <v>0.0</v>
      </c>
      <c r="V65" s="23">
        <v>0.0</v>
      </c>
      <c r="W65" s="23">
        <v>0.0</v>
      </c>
      <c r="X65" s="26">
        <f t="shared" si="8"/>
        <v>0</v>
      </c>
    </row>
    <row r="66">
      <c r="A66" s="31" t="s">
        <v>13</v>
      </c>
      <c r="B66" s="35">
        <f t="shared" ref="B66:X66" si="9">SUM(B4:B65)</f>
        <v>445</v>
      </c>
      <c r="C66" s="35">
        <f t="shared" si="9"/>
        <v>43</v>
      </c>
      <c r="D66" s="35">
        <f t="shared" si="9"/>
        <v>354</v>
      </c>
      <c r="E66" s="35">
        <f t="shared" si="9"/>
        <v>0</v>
      </c>
      <c r="F66" s="35">
        <f t="shared" si="9"/>
        <v>0</v>
      </c>
      <c r="G66" s="35">
        <f t="shared" si="9"/>
        <v>0</v>
      </c>
      <c r="H66" s="35">
        <f t="shared" si="9"/>
        <v>47</v>
      </c>
      <c r="I66" s="35">
        <f t="shared" si="9"/>
        <v>0</v>
      </c>
      <c r="J66" s="35">
        <f t="shared" si="9"/>
        <v>444</v>
      </c>
      <c r="K66" s="35">
        <f t="shared" si="9"/>
        <v>416</v>
      </c>
      <c r="L66" s="35">
        <f t="shared" si="9"/>
        <v>28</v>
      </c>
      <c r="M66" s="35">
        <f t="shared" si="9"/>
        <v>444</v>
      </c>
      <c r="N66" s="35">
        <f t="shared" si="9"/>
        <v>143</v>
      </c>
      <c r="O66" s="35">
        <f t="shared" si="9"/>
        <v>178</v>
      </c>
      <c r="P66" s="35">
        <f t="shared" si="9"/>
        <v>100</v>
      </c>
      <c r="Q66" s="35">
        <f t="shared" si="9"/>
        <v>15</v>
      </c>
      <c r="R66" s="35">
        <f t="shared" si="9"/>
        <v>8</v>
      </c>
      <c r="S66" s="35">
        <f t="shared" si="9"/>
        <v>444</v>
      </c>
      <c r="T66" s="35">
        <f t="shared" si="9"/>
        <v>333</v>
      </c>
      <c r="U66" s="35">
        <f t="shared" si="9"/>
        <v>2</v>
      </c>
      <c r="V66" s="35">
        <f t="shared" si="9"/>
        <v>92</v>
      </c>
      <c r="W66" s="35">
        <f t="shared" si="9"/>
        <v>17</v>
      </c>
      <c r="X66" s="35">
        <f t="shared" si="9"/>
        <v>444</v>
      </c>
    </row>
    <row r="67">
      <c r="B67" s="38"/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105.0</v>
      </c>
      <c r="C4" s="22">
        <v>0.0</v>
      </c>
      <c r="D4" s="22">
        <v>103.0</v>
      </c>
      <c r="E4" s="22">
        <v>0.0</v>
      </c>
      <c r="F4" s="22">
        <v>0.0</v>
      </c>
      <c r="G4" s="22">
        <v>0.0</v>
      </c>
      <c r="H4" s="22">
        <v>2.0</v>
      </c>
      <c r="I4" s="22">
        <v>0.0</v>
      </c>
      <c r="J4" s="25">
        <f t="shared" ref="J4:J65" si="1">sum(C4:I4)</f>
        <v>105</v>
      </c>
      <c r="K4" s="23">
        <v>103.0</v>
      </c>
      <c r="L4" s="23">
        <v>2.0</v>
      </c>
      <c r="M4" s="25">
        <f t="shared" ref="M4:M65" si="2">sum(K4:L4)</f>
        <v>105</v>
      </c>
      <c r="N4" s="23">
        <v>9.0</v>
      </c>
      <c r="O4" s="23">
        <v>4.0</v>
      </c>
      <c r="P4" s="23">
        <v>4.0</v>
      </c>
      <c r="Q4" s="23">
        <v>0.0</v>
      </c>
      <c r="R4" s="23">
        <v>88.0</v>
      </c>
      <c r="S4" s="26">
        <f t="shared" ref="S4:S65" si="3">sum(N4:R4)</f>
        <v>105</v>
      </c>
      <c r="T4" s="23">
        <v>103.0</v>
      </c>
      <c r="U4" s="23">
        <v>0.0</v>
      </c>
      <c r="V4" s="23">
        <v>1.0</v>
      </c>
      <c r="W4" s="23">
        <v>1.0</v>
      </c>
      <c r="X4" s="26">
        <f t="shared" ref="X4:X65" si="4">sum(T4:W4)</f>
        <v>105</v>
      </c>
    </row>
    <row r="5">
      <c r="A5" s="20" t="s">
        <v>26</v>
      </c>
      <c r="B5" s="21">
        <v>0.0</v>
      </c>
      <c r="C5" s="22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5">
        <f t="shared" si="1"/>
        <v>0</v>
      </c>
      <c r="K5" s="23">
        <v>0.0</v>
      </c>
      <c r="L5" s="23">
        <v>0.0</v>
      </c>
      <c r="M5" s="25">
        <f t="shared" si="2"/>
        <v>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6">
        <f t="shared" si="3"/>
        <v>0</v>
      </c>
      <c r="T5" s="23">
        <v>0.0</v>
      </c>
      <c r="U5" s="23">
        <v>0.0</v>
      </c>
      <c r="V5" s="23">
        <v>0.0</v>
      </c>
      <c r="W5" s="23">
        <v>0.0</v>
      </c>
      <c r="X5" s="26">
        <f t="shared" si="4"/>
        <v>0</v>
      </c>
    </row>
    <row r="6">
      <c r="A6" s="20" t="s">
        <v>27</v>
      </c>
      <c r="B6" s="21">
        <v>1.0</v>
      </c>
      <c r="C6" s="22">
        <v>0.0</v>
      </c>
      <c r="D6" s="22">
        <v>1.0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5">
        <f t="shared" si="1"/>
        <v>1</v>
      </c>
      <c r="K6" s="23">
        <v>1.0</v>
      </c>
      <c r="L6" s="23">
        <v>0.0</v>
      </c>
      <c r="M6" s="25">
        <f t="shared" si="2"/>
        <v>1</v>
      </c>
      <c r="N6" s="23">
        <v>0.0</v>
      </c>
      <c r="O6" s="23">
        <v>1.0</v>
      </c>
      <c r="P6" s="23">
        <v>0.0</v>
      </c>
      <c r="Q6" s="23">
        <v>0.0</v>
      </c>
      <c r="R6" s="23">
        <v>0.0</v>
      </c>
      <c r="S6" s="26">
        <f t="shared" si="3"/>
        <v>1</v>
      </c>
      <c r="T6" s="23">
        <v>0.0</v>
      </c>
      <c r="U6" s="23">
        <v>0.0</v>
      </c>
      <c r="V6" s="23">
        <v>1.0</v>
      </c>
      <c r="W6" s="23">
        <v>0.0</v>
      </c>
      <c r="X6" s="26">
        <f t="shared" si="4"/>
        <v>1</v>
      </c>
    </row>
    <row r="7">
      <c r="A7" s="20" t="s">
        <v>28</v>
      </c>
      <c r="B7" s="21">
        <v>0.0</v>
      </c>
      <c r="C7" s="22">
        <v>0.0</v>
      </c>
      <c r="D7" s="22">
        <v>0.0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5">
        <f t="shared" si="1"/>
        <v>0</v>
      </c>
      <c r="K7" s="23">
        <v>0.0</v>
      </c>
      <c r="L7" s="23">
        <v>0.0</v>
      </c>
      <c r="M7" s="25">
        <f t="shared" si="2"/>
        <v>0</v>
      </c>
      <c r="N7" s="23">
        <v>0.0</v>
      </c>
      <c r="O7" s="23">
        <v>0.0</v>
      </c>
      <c r="P7" s="23">
        <v>0.0</v>
      </c>
      <c r="Q7" s="23">
        <v>0.0</v>
      </c>
      <c r="R7" s="23">
        <v>0.0</v>
      </c>
      <c r="S7" s="26">
        <f t="shared" si="3"/>
        <v>0</v>
      </c>
      <c r="T7" s="23">
        <v>0.0</v>
      </c>
      <c r="U7" s="23">
        <v>0.0</v>
      </c>
      <c r="V7" s="23">
        <v>0.0</v>
      </c>
      <c r="W7" s="23">
        <v>0.0</v>
      </c>
      <c r="X7" s="26">
        <f t="shared" si="4"/>
        <v>0</v>
      </c>
    </row>
    <row r="8">
      <c r="A8" s="20" t="s">
        <v>29</v>
      </c>
      <c r="B8" s="21">
        <v>3.0</v>
      </c>
      <c r="C8" s="22">
        <v>0.0</v>
      </c>
      <c r="D8" s="22">
        <v>3.0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5">
        <f t="shared" si="1"/>
        <v>3</v>
      </c>
      <c r="K8" s="23">
        <v>2.0</v>
      </c>
      <c r="L8" s="23">
        <v>1.0</v>
      </c>
      <c r="M8" s="25">
        <f t="shared" si="2"/>
        <v>3</v>
      </c>
      <c r="N8" s="23">
        <v>1.0</v>
      </c>
      <c r="O8" s="23">
        <v>0.0</v>
      </c>
      <c r="P8" s="23">
        <v>1.0</v>
      </c>
      <c r="Q8" s="23">
        <v>0.0</v>
      </c>
      <c r="R8" s="23">
        <v>1.0</v>
      </c>
      <c r="S8" s="26">
        <f t="shared" si="3"/>
        <v>3</v>
      </c>
      <c r="T8" s="23">
        <v>2.0</v>
      </c>
      <c r="U8" s="23">
        <v>0.0</v>
      </c>
      <c r="V8" s="23">
        <v>1.0</v>
      </c>
      <c r="W8" s="23">
        <v>0.0</v>
      </c>
      <c r="X8" s="26">
        <f t="shared" si="4"/>
        <v>3</v>
      </c>
    </row>
    <row r="9">
      <c r="A9" s="20" t="s">
        <v>30</v>
      </c>
      <c r="B9" s="21">
        <v>1.0</v>
      </c>
      <c r="C9" s="22">
        <v>0.0</v>
      </c>
      <c r="D9" s="22">
        <v>1.0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5">
        <f t="shared" si="1"/>
        <v>1</v>
      </c>
      <c r="K9" s="23">
        <v>0.0</v>
      </c>
      <c r="L9" s="23">
        <v>1.0</v>
      </c>
      <c r="M9" s="25">
        <f t="shared" si="2"/>
        <v>1</v>
      </c>
      <c r="N9" s="23">
        <v>0.0</v>
      </c>
      <c r="O9" s="23">
        <v>0.0</v>
      </c>
      <c r="P9" s="23">
        <v>1.0</v>
      </c>
      <c r="Q9" s="23">
        <v>0.0</v>
      </c>
      <c r="R9" s="23">
        <v>0.0</v>
      </c>
      <c r="S9" s="26">
        <f t="shared" si="3"/>
        <v>1</v>
      </c>
      <c r="T9" s="23">
        <v>0.0</v>
      </c>
      <c r="U9" s="23">
        <v>0.0</v>
      </c>
      <c r="V9" s="23">
        <v>1.0</v>
      </c>
      <c r="W9" s="23">
        <v>0.0</v>
      </c>
      <c r="X9" s="26">
        <f t="shared" si="4"/>
        <v>1</v>
      </c>
    </row>
    <row r="10">
      <c r="A10" s="20" t="s">
        <v>31</v>
      </c>
      <c r="B10" s="21">
        <v>0.0</v>
      </c>
      <c r="C10" s="22">
        <v>0.0</v>
      </c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5">
        <f t="shared" si="1"/>
        <v>0</v>
      </c>
      <c r="K10" s="23">
        <v>0.0</v>
      </c>
      <c r="L10" s="23">
        <v>0.0</v>
      </c>
      <c r="M10" s="25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6">
        <f t="shared" si="3"/>
        <v>0</v>
      </c>
      <c r="T10" s="23">
        <v>0.0</v>
      </c>
      <c r="U10" s="23">
        <v>0.0</v>
      </c>
      <c r="V10" s="23">
        <v>0.0</v>
      </c>
      <c r="W10" s="23">
        <v>0.0</v>
      </c>
      <c r="X10" s="26">
        <f t="shared" si="4"/>
        <v>0</v>
      </c>
    </row>
    <row r="11">
      <c r="A11" s="20" t="s">
        <v>32</v>
      </c>
      <c r="B11" s="21">
        <v>0.0</v>
      </c>
      <c r="C11" s="22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6.0</v>
      </c>
      <c r="C12" s="22">
        <v>0.0</v>
      </c>
      <c r="D12" s="22">
        <v>6.0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5">
        <f t="shared" si="1"/>
        <v>6</v>
      </c>
      <c r="K12" s="23">
        <v>6.0</v>
      </c>
      <c r="L12" s="23">
        <v>0.0</v>
      </c>
      <c r="M12" s="25">
        <f t="shared" si="2"/>
        <v>6</v>
      </c>
      <c r="N12" s="23">
        <v>1.0</v>
      </c>
      <c r="O12" s="23">
        <v>1.0</v>
      </c>
      <c r="P12" s="23">
        <v>4.0</v>
      </c>
      <c r="Q12" s="23">
        <v>0.0</v>
      </c>
      <c r="R12" s="23">
        <v>0.0</v>
      </c>
      <c r="S12" s="26">
        <f t="shared" si="3"/>
        <v>6</v>
      </c>
      <c r="T12" s="23">
        <v>5.0</v>
      </c>
      <c r="U12" s="23">
        <v>0.0</v>
      </c>
      <c r="V12" s="23">
        <v>0.0</v>
      </c>
      <c r="W12" s="23">
        <v>1.0</v>
      </c>
      <c r="X12" s="26">
        <f t="shared" si="4"/>
        <v>6</v>
      </c>
    </row>
    <row r="13">
      <c r="A13" s="20" t="s">
        <v>34</v>
      </c>
      <c r="B13" s="21">
        <v>10.0</v>
      </c>
      <c r="C13" s="22">
        <v>0.0</v>
      </c>
      <c r="D13" s="22">
        <v>9.0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5">
        <f t="shared" si="1"/>
        <v>10</v>
      </c>
      <c r="K13" s="23">
        <v>10.0</v>
      </c>
      <c r="L13" s="23">
        <v>0.0</v>
      </c>
      <c r="M13" s="25">
        <f t="shared" si="2"/>
        <v>10</v>
      </c>
      <c r="N13" s="23">
        <v>0.0</v>
      </c>
      <c r="O13" s="23">
        <v>2.0</v>
      </c>
      <c r="P13" s="23">
        <v>5.0</v>
      </c>
      <c r="Q13" s="23">
        <v>3.0</v>
      </c>
      <c r="R13" s="23">
        <v>0.0</v>
      </c>
      <c r="S13" s="26">
        <f t="shared" si="3"/>
        <v>10</v>
      </c>
      <c r="T13" s="23">
        <v>10.0</v>
      </c>
      <c r="U13" s="23">
        <v>0.0</v>
      </c>
      <c r="V13" s="23">
        <v>0.0</v>
      </c>
      <c r="W13" s="23">
        <v>0.0</v>
      </c>
      <c r="X13" s="26">
        <f t="shared" si="4"/>
        <v>10</v>
      </c>
    </row>
    <row r="14">
      <c r="A14" s="20" t="s">
        <v>35</v>
      </c>
      <c r="B14" s="27">
        <v>4.0</v>
      </c>
      <c r="C14" s="22">
        <v>0.0</v>
      </c>
      <c r="D14" s="22">
        <v>4.0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5">
        <f t="shared" si="1"/>
        <v>4</v>
      </c>
      <c r="K14" s="23">
        <v>4.0</v>
      </c>
      <c r="L14" s="23">
        <v>0.0</v>
      </c>
      <c r="M14" s="25">
        <f t="shared" si="2"/>
        <v>4</v>
      </c>
      <c r="N14" s="23">
        <v>2.0</v>
      </c>
      <c r="O14" s="23">
        <v>1.0</v>
      </c>
      <c r="P14" s="23">
        <v>1.0</v>
      </c>
      <c r="Q14" s="23">
        <v>0.0</v>
      </c>
      <c r="R14" s="23">
        <v>0.0</v>
      </c>
      <c r="S14" s="26">
        <f t="shared" si="3"/>
        <v>4</v>
      </c>
      <c r="T14" s="23">
        <v>3.0</v>
      </c>
      <c r="U14" s="23">
        <v>1.0</v>
      </c>
      <c r="V14" s="23">
        <v>0.0</v>
      </c>
      <c r="W14" s="23">
        <v>0.0</v>
      </c>
      <c r="X14" s="26">
        <f t="shared" si="4"/>
        <v>4</v>
      </c>
    </row>
    <row r="15">
      <c r="A15" s="20" t="s">
        <v>36</v>
      </c>
      <c r="B15" s="21">
        <v>0.0</v>
      </c>
      <c r="C15" s="22">
        <v>0.0</v>
      </c>
      <c r="D15" s="22">
        <v>0.0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5">
        <f t="shared" si="1"/>
        <v>0</v>
      </c>
      <c r="K15" s="23">
        <v>0.0</v>
      </c>
      <c r="L15" s="23">
        <v>0.0</v>
      </c>
      <c r="M15" s="25">
        <f t="shared" si="2"/>
        <v>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6">
        <f t="shared" si="3"/>
        <v>0</v>
      </c>
      <c r="T15" s="23">
        <v>0.0</v>
      </c>
      <c r="U15" s="23">
        <v>0.0</v>
      </c>
      <c r="V15" s="23">
        <v>0.0</v>
      </c>
      <c r="W15" s="23">
        <v>0.0</v>
      </c>
      <c r="X15" s="26">
        <f t="shared" si="4"/>
        <v>0</v>
      </c>
    </row>
    <row r="16">
      <c r="A16" s="20" t="s">
        <v>37</v>
      </c>
      <c r="B16" s="21">
        <v>1.0</v>
      </c>
      <c r="C16" s="22">
        <v>0.0</v>
      </c>
      <c r="D16" s="22">
        <v>1.0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5">
        <f t="shared" si="1"/>
        <v>1</v>
      </c>
      <c r="K16" s="23">
        <v>1.0</v>
      </c>
      <c r="L16" s="23">
        <v>0.0</v>
      </c>
      <c r="M16" s="25">
        <f t="shared" si="2"/>
        <v>1</v>
      </c>
      <c r="N16" s="23">
        <v>0.0</v>
      </c>
      <c r="O16" s="23">
        <v>0.0</v>
      </c>
      <c r="P16" s="23">
        <v>1.0</v>
      </c>
      <c r="Q16" s="23">
        <v>0.0</v>
      </c>
      <c r="R16" s="23">
        <v>0.0</v>
      </c>
      <c r="S16" s="26">
        <f t="shared" si="3"/>
        <v>1</v>
      </c>
      <c r="T16" s="23">
        <v>1.0</v>
      </c>
      <c r="U16" s="23">
        <v>0.0</v>
      </c>
      <c r="V16" s="23">
        <v>0.0</v>
      </c>
      <c r="W16" s="23">
        <v>0.0</v>
      </c>
      <c r="X16" s="26">
        <f t="shared" si="4"/>
        <v>1</v>
      </c>
    </row>
    <row r="17">
      <c r="A17" s="20" t="s">
        <v>38</v>
      </c>
      <c r="B17" s="21">
        <v>2.0</v>
      </c>
      <c r="C17" s="22">
        <v>0.0</v>
      </c>
      <c r="D17" s="22">
        <v>2.0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5">
        <f t="shared" si="1"/>
        <v>2</v>
      </c>
      <c r="K17" s="23">
        <v>2.0</v>
      </c>
      <c r="L17" s="23">
        <v>0.0</v>
      </c>
      <c r="M17" s="25">
        <f t="shared" si="2"/>
        <v>2</v>
      </c>
      <c r="N17" s="23">
        <v>0.0</v>
      </c>
      <c r="O17" s="23">
        <v>0.0</v>
      </c>
      <c r="P17" s="23">
        <v>1.0</v>
      </c>
      <c r="Q17" s="23">
        <v>0.0</v>
      </c>
      <c r="R17" s="23">
        <v>1.0</v>
      </c>
      <c r="S17" s="26">
        <f t="shared" si="3"/>
        <v>2</v>
      </c>
      <c r="T17" s="23">
        <v>2.0</v>
      </c>
      <c r="U17" s="23">
        <v>0.0</v>
      </c>
      <c r="V17" s="23">
        <v>0.0</v>
      </c>
      <c r="W17" s="23">
        <v>0.0</v>
      </c>
      <c r="X17" s="26">
        <f t="shared" si="4"/>
        <v>2</v>
      </c>
    </row>
    <row r="18">
      <c r="A18" s="20" t="s">
        <v>39</v>
      </c>
      <c r="B18" s="27">
        <v>14.0</v>
      </c>
      <c r="C18" s="22">
        <v>0.0</v>
      </c>
      <c r="D18" s="22">
        <v>13.0</v>
      </c>
      <c r="E18" s="22">
        <v>0.0</v>
      </c>
      <c r="F18" s="22">
        <v>0.0</v>
      </c>
      <c r="G18" s="22">
        <v>0.0</v>
      </c>
      <c r="H18" s="22">
        <v>1.0</v>
      </c>
      <c r="I18" s="22">
        <v>0.0</v>
      </c>
      <c r="J18" s="25">
        <f t="shared" si="1"/>
        <v>14</v>
      </c>
      <c r="K18" s="23">
        <v>14.0</v>
      </c>
      <c r="L18" s="23">
        <v>0.0</v>
      </c>
      <c r="M18" s="25">
        <f t="shared" si="2"/>
        <v>14</v>
      </c>
      <c r="N18" s="23">
        <v>4.0</v>
      </c>
      <c r="O18" s="23">
        <v>6.0</v>
      </c>
      <c r="P18" s="23">
        <v>0.0</v>
      </c>
      <c r="Q18" s="23">
        <v>0.0</v>
      </c>
      <c r="R18" s="23">
        <v>4.0</v>
      </c>
      <c r="S18" s="26">
        <f t="shared" si="3"/>
        <v>14</v>
      </c>
      <c r="T18" s="23">
        <v>11.0</v>
      </c>
      <c r="U18" s="23">
        <v>0.0</v>
      </c>
      <c r="V18" s="23">
        <v>1.0</v>
      </c>
      <c r="W18" s="23">
        <v>2.0</v>
      </c>
      <c r="X18" s="26">
        <f t="shared" si="4"/>
        <v>14</v>
      </c>
    </row>
    <row r="19">
      <c r="A19" s="20" t="s">
        <v>40</v>
      </c>
      <c r="B19" s="27">
        <v>0.0</v>
      </c>
      <c r="C19" s="22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5">
        <f t="shared" si="1"/>
        <v>0</v>
      </c>
      <c r="K19" s="23">
        <v>0.0</v>
      </c>
      <c r="L19" s="23">
        <v>0.0</v>
      </c>
      <c r="M19" s="25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0</v>
      </c>
      <c r="T19" s="23">
        <v>0.0</v>
      </c>
      <c r="U19" s="23">
        <v>0.0</v>
      </c>
      <c r="V19" s="23">
        <v>0.0</v>
      </c>
      <c r="W19" s="23">
        <v>0.0</v>
      </c>
      <c r="X19" s="26">
        <f t="shared" si="4"/>
        <v>0</v>
      </c>
    </row>
    <row r="20">
      <c r="A20" s="20" t="s">
        <v>41</v>
      </c>
      <c r="B20" s="21">
        <v>0.0</v>
      </c>
      <c r="C20" s="22">
        <v>0.0</v>
      </c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3">
        <v>0.0</v>
      </c>
      <c r="X20" s="26">
        <f t="shared" si="4"/>
        <v>0</v>
      </c>
    </row>
    <row r="21">
      <c r="A21" s="20" t="s">
        <v>42</v>
      </c>
      <c r="B21" s="27">
        <v>2.0</v>
      </c>
      <c r="C21" s="22">
        <v>0.0</v>
      </c>
      <c r="D21" s="22">
        <v>0.0</v>
      </c>
      <c r="E21" s="22">
        <v>0.0</v>
      </c>
      <c r="F21" s="22">
        <v>0.0</v>
      </c>
      <c r="G21" s="22">
        <v>0.0</v>
      </c>
      <c r="H21" s="22">
        <v>2.0</v>
      </c>
      <c r="I21" s="22">
        <v>0.0</v>
      </c>
      <c r="J21" s="25">
        <f t="shared" si="1"/>
        <v>2</v>
      </c>
      <c r="K21" s="23">
        <v>2.0</v>
      </c>
      <c r="L21" s="23">
        <v>0.0</v>
      </c>
      <c r="M21" s="25">
        <f t="shared" si="2"/>
        <v>2</v>
      </c>
      <c r="N21" s="23">
        <v>0.0</v>
      </c>
      <c r="O21" s="23">
        <v>1.0</v>
      </c>
      <c r="P21" s="23">
        <v>1.0</v>
      </c>
      <c r="Q21" s="23">
        <v>0.0</v>
      </c>
      <c r="R21" s="23">
        <v>0.0</v>
      </c>
      <c r="S21" s="26">
        <f t="shared" si="3"/>
        <v>2</v>
      </c>
      <c r="T21" s="23">
        <v>1.0</v>
      </c>
      <c r="U21" s="23">
        <v>0.0</v>
      </c>
      <c r="V21" s="23">
        <v>1.0</v>
      </c>
      <c r="W21" s="23">
        <v>0.0</v>
      </c>
      <c r="X21" s="26">
        <f t="shared" si="4"/>
        <v>2</v>
      </c>
    </row>
    <row r="22">
      <c r="A22" s="20" t="s">
        <v>43</v>
      </c>
      <c r="B22" s="27">
        <v>24.0</v>
      </c>
      <c r="C22" s="22">
        <v>1.0</v>
      </c>
      <c r="D22" s="22">
        <v>20.0</v>
      </c>
      <c r="E22" s="22">
        <v>0.0</v>
      </c>
      <c r="F22" s="22">
        <v>0.0</v>
      </c>
      <c r="G22" s="22">
        <v>0.0</v>
      </c>
      <c r="H22" s="22">
        <v>3.0</v>
      </c>
      <c r="I22" s="22">
        <v>0.0</v>
      </c>
      <c r="J22" s="25">
        <f t="shared" si="1"/>
        <v>24</v>
      </c>
      <c r="K22" s="23">
        <v>24.0</v>
      </c>
      <c r="L22" s="23">
        <v>0.0</v>
      </c>
      <c r="M22" s="25">
        <f t="shared" si="2"/>
        <v>24</v>
      </c>
      <c r="N22" s="23">
        <v>12.0</v>
      </c>
      <c r="O22" s="23">
        <v>6.0</v>
      </c>
      <c r="P22" s="23">
        <v>6.0</v>
      </c>
      <c r="Q22" s="23">
        <v>0.0</v>
      </c>
      <c r="R22" s="23">
        <v>0.0</v>
      </c>
      <c r="S22" s="26">
        <f t="shared" si="3"/>
        <v>24</v>
      </c>
      <c r="T22" s="23">
        <v>24.0</v>
      </c>
      <c r="U22" s="23">
        <v>0.0</v>
      </c>
      <c r="V22" s="23">
        <v>0.0</v>
      </c>
      <c r="W22" s="23">
        <v>0.0</v>
      </c>
      <c r="X22" s="26">
        <f t="shared" si="4"/>
        <v>24</v>
      </c>
    </row>
    <row r="23">
      <c r="A23" s="20" t="s">
        <v>44</v>
      </c>
      <c r="B23" s="27">
        <v>10.0</v>
      </c>
      <c r="C23" s="22">
        <v>2.0</v>
      </c>
      <c r="D23" s="22">
        <v>6.0</v>
      </c>
      <c r="E23" s="22">
        <v>0.0</v>
      </c>
      <c r="F23" s="22">
        <v>0.0</v>
      </c>
      <c r="G23" s="22">
        <v>0.0</v>
      </c>
      <c r="H23" s="22">
        <v>2.0</v>
      </c>
      <c r="I23" s="22">
        <v>0.0</v>
      </c>
      <c r="J23" s="25">
        <f t="shared" si="1"/>
        <v>10</v>
      </c>
      <c r="K23" s="23">
        <v>10.0</v>
      </c>
      <c r="L23" s="23">
        <v>0.0</v>
      </c>
      <c r="M23" s="25">
        <f t="shared" si="2"/>
        <v>10</v>
      </c>
      <c r="N23" s="23">
        <v>2.0</v>
      </c>
      <c r="O23" s="23">
        <v>1.0</v>
      </c>
      <c r="P23" s="23">
        <v>4.0</v>
      </c>
      <c r="Q23" s="23">
        <v>0.0</v>
      </c>
      <c r="R23" s="23">
        <v>3.0</v>
      </c>
      <c r="S23" s="26">
        <f t="shared" si="3"/>
        <v>10</v>
      </c>
      <c r="T23" s="23">
        <v>10.0</v>
      </c>
      <c r="U23" s="23">
        <v>0.0</v>
      </c>
      <c r="V23" s="23">
        <v>0.0</v>
      </c>
      <c r="W23" s="23">
        <v>0.0</v>
      </c>
      <c r="X23" s="26">
        <f t="shared" si="4"/>
        <v>10</v>
      </c>
    </row>
    <row r="24">
      <c r="A24" s="20" t="s">
        <v>45</v>
      </c>
      <c r="B24" s="27">
        <v>0.0</v>
      </c>
      <c r="C24" s="22">
        <v>0.0</v>
      </c>
      <c r="D24" s="22">
        <v>0.0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5">
        <f t="shared" si="1"/>
        <v>0</v>
      </c>
      <c r="K24" s="23">
        <v>0.0</v>
      </c>
      <c r="L24" s="23">
        <v>0.0</v>
      </c>
      <c r="M24" s="25">
        <f t="shared" si="2"/>
        <v>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6">
        <f t="shared" si="3"/>
        <v>0</v>
      </c>
      <c r="T24" s="23">
        <v>0.0</v>
      </c>
      <c r="U24" s="23">
        <v>0.0</v>
      </c>
      <c r="V24" s="23">
        <v>0.0</v>
      </c>
      <c r="W24" s="23">
        <v>0.0</v>
      </c>
      <c r="X24" s="26">
        <f t="shared" si="4"/>
        <v>0</v>
      </c>
    </row>
    <row r="25">
      <c r="A25" s="20" t="s">
        <v>46</v>
      </c>
      <c r="B25" s="27">
        <v>5.0</v>
      </c>
      <c r="C25" s="22">
        <v>0.0</v>
      </c>
      <c r="D25" s="22">
        <v>3.0</v>
      </c>
      <c r="E25" s="22">
        <v>0.0</v>
      </c>
      <c r="F25" s="22">
        <v>0.0</v>
      </c>
      <c r="G25" s="22">
        <v>0.0</v>
      </c>
      <c r="H25" s="22">
        <v>2.0</v>
      </c>
      <c r="I25" s="22">
        <v>0.0</v>
      </c>
      <c r="J25" s="25">
        <f t="shared" si="1"/>
        <v>5</v>
      </c>
      <c r="K25" s="23">
        <v>4.0</v>
      </c>
      <c r="L25" s="23">
        <v>1.0</v>
      </c>
      <c r="M25" s="25">
        <f t="shared" si="2"/>
        <v>5</v>
      </c>
      <c r="N25" s="23">
        <v>0.0</v>
      </c>
      <c r="O25" s="23">
        <v>4.0</v>
      </c>
      <c r="P25" s="23">
        <v>1.0</v>
      </c>
      <c r="Q25" s="23">
        <v>0.0</v>
      </c>
      <c r="R25" s="23">
        <v>0.0</v>
      </c>
      <c r="S25" s="26">
        <f t="shared" si="3"/>
        <v>5</v>
      </c>
      <c r="T25" s="23">
        <v>3.0</v>
      </c>
      <c r="U25" s="23">
        <v>0.0</v>
      </c>
      <c r="V25" s="23">
        <v>1.0</v>
      </c>
      <c r="W25" s="23">
        <v>1.0</v>
      </c>
      <c r="X25" s="26">
        <f t="shared" si="4"/>
        <v>5</v>
      </c>
    </row>
    <row r="26">
      <c r="A26" s="20" t="s">
        <v>47</v>
      </c>
      <c r="B26" s="27">
        <v>7.0</v>
      </c>
      <c r="C26" s="22">
        <v>1.0</v>
      </c>
      <c r="D26" s="22">
        <v>4.0</v>
      </c>
      <c r="E26" s="22">
        <v>0.0</v>
      </c>
      <c r="F26" s="22">
        <v>0.0</v>
      </c>
      <c r="G26" s="22">
        <v>0.0</v>
      </c>
      <c r="H26" s="22">
        <v>2.0</v>
      </c>
      <c r="I26" s="22">
        <v>0.0</v>
      </c>
      <c r="J26" s="25">
        <f t="shared" si="1"/>
        <v>7</v>
      </c>
      <c r="K26" s="23">
        <v>7.0</v>
      </c>
      <c r="L26" s="23">
        <v>0.0</v>
      </c>
      <c r="M26" s="25">
        <f t="shared" si="2"/>
        <v>7</v>
      </c>
      <c r="N26" s="23">
        <v>0.0</v>
      </c>
      <c r="O26" s="23">
        <v>7.0</v>
      </c>
      <c r="P26" s="23">
        <v>0.0</v>
      </c>
      <c r="Q26" s="23">
        <v>0.0</v>
      </c>
      <c r="R26" s="23">
        <v>0.0</v>
      </c>
      <c r="S26" s="26">
        <f t="shared" si="3"/>
        <v>7</v>
      </c>
      <c r="T26" s="23">
        <v>6.0</v>
      </c>
      <c r="U26" s="23">
        <v>0.0</v>
      </c>
      <c r="V26" s="23">
        <v>0.0</v>
      </c>
      <c r="W26" s="23">
        <v>1.0</v>
      </c>
      <c r="X26" s="26">
        <f t="shared" si="4"/>
        <v>7</v>
      </c>
    </row>
    <row r="27">
      <c r="A27" s="20" t="s">
        <v>48</v>
      </c>
      <c r="B27" s="21">
        <v>0.0</v>
      </c>
      <c r="C27" s="22">
        <v>0.0</v>
      </c>
      <c r="D27" s="22">
        <v>0.0</v>
      </c>
      <c r="E27" s="22">
        <v>0.0</v>
      </c>
      <c r="F27" s="22">
        <v>0.0</v>
      </c>
      <c r="G27" s="22">
        <v>0.0</v>
      </c>
      <c r="H27" s="22">
        <v>0.0</v>
      </c>
      <c r="I27" s="22">
        <v>0.0</v>
      </c>
      <c r="J27" s="25">
        <f t="shared" si="1"/>
        <v>0</v>
      </c>
      <c r="K27" s="23">
        <v>0.0</v>
      </c>
      <c r="L27" s="23">
        <v>0.0</v>
      </c>
      <c r="M27" s="25">
        <f t="shared" si="2"/>
        <v>0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6">
        <f t="shared" si="3"/>
        <v>0</v>
      </c>
      <c r="T27" s="23">
        <v>0.0</v>
      </c>
      <c r="U27" s="23">
        <v>0.0</v>
      </c>
      <c r="V27" s="23">
        <v>0.0</v>
      </c>
      <c r="W27" s="23">
        <v>0.0</v>
      </c>
      <c r="X27" s="26">
        <f t="shared" si="4"/>
        <v>0</v>
      </c>
    </row>
    <row r="28">
      <c r="A28" s="20" t="s">
        <v>49</v>
      </c>
      <c r="B28" s="21">
        <v>3.0</v>
      </c>
      <c r="C28" s="22">
        <v>0.0</v>
      </c>
      <c r="D28" s="22">
        <v>2.0</v>
      </c>
      <c r="E28" s="22">
        <v>0.0</v>
      </c>
      <c r="F28" s="22">
        <v>0.0</v>
      </c>
      <c r="G28" s="22">
        <v>0.0</v>
      </c>
      <c r="H28" s="22">
        <v>1.0</v>
      </c>
      <c r="I28" s="22">
        <v>0.0</v>
      </c>
      <c r="J28" s="25">
        <f t="shared" si="1"/>
        <v>3</v>
      </c>
      <c r="K28" s="23">
        <v>3.0</v>
      </c>
      <c r="L28" s="23">
        <v>0.0</v>
      </c>
      <c r="M28" s="25">
        <f t="shared" si="2"/>
        <v>3</v>
      </c>
      <c r="N28" s="23">
        <v>1.0</v>
      </c>
      <c r="O28" s="23">
        <v>2.0</v>
      </c>
      <c r="P28" s="23">
        <v>0.0</v>
      </c>
      <c r="Q28" s="23">
        <v>0.0</v>
      </c>
      <c r="R28" s="23">
        <v>0.0</v>
      </c>
      <c r="S28" s="26">
        <f t="shared" si="3"/>
        <v>3</v>
      </c>
      <c r="T28" s="23">
        <v>3.0</v>
      </c>
      <c r="U28" s="23">
        <v>0.0</v>
      </c>
      <c r="V28" s="23">
        <v>0.0</v>
      </c>
      <c r="W28" s="23">
        <v>0.0</v>
      </c>
      <c r="X28" s="26">
        <f t="shared" si="4"/>
        <v>3</v>
      </c>
    </row>
    <row r="29">
      <c r="A29" s="20" t="s">
        <v>50</v>
      </c>
      <c r="B29" s="21">
        <v>3.0</v>
      </c>
      <c r="C29" s="22">
        <v>0.0</v>
      </c>
      <c r="D29" s="22">
        <v>3.0</v>
      </c>
      <c r="E29" s="22">
        <v>0.0</v>
      </c>
      <c r="F29" s="22">
        <v>0.0</v>
      </c>
      <c r="G29" s="22">
        <v>0.0</v>
      </c>
      <c r="H29" s="22">
        <v>0.0</v>
      </c>
      <c r="I29" s="22">
        <v>0.0</v>
      </c>
      <c r="J29" s="25">
        <f t="shared" si="1"/>
        <v>3</v>
      </c>
      <c r="K29" s="23">
        <v>2.0</v>
      </c>
      <c r="L29" s="23">
        <v>1.0</v>
      </c>
      <c r="M29" s="25">
        <f t="shared" si="2"/>
        <v>3</v>
      </c>
      <c r="N29" s="23">
        <v>0.0</v>
      </c>
      <c r="O29" s="23">
        <v>3.0</v>
      </c>
      <c r="P29" s="23">
        <v>0.0</v>
      </c>
      <c r="Q29" s="23">
        <v>0.0</v>
      </c>
      <c r="R29" s="23">
        <v>0.0</v>
      </c>
      <c r="S29" s="26">
        <f t="shared" si="3"/>
        <v>3</v>
      </c>
      <c r="T29" s="23">
        <v>0.0</v>
      </c>
      <c r="U29" s="23">
        <v>0.0</v>
      </c>
      <c r="V29" s="23">
        <v>3.0</v>
      </c>
      <c r="W29" s="23">
        <v>0.0</v>
      </c>
      <c r="X29" s="26">
        <f t="shared" si="4"/>
        <v>3</v>
      </c>
    </row>
    <row r="30">
      <c r="A30" s="20" t="s">
        <v>51</v>
      </c>
      <c r="B30" s="27">
        <v>0.0</v>
      </c>
      <c r="C30" s="22">
        <v>0.0</v>
      </c>
      <c r="D30" s="22">
        <v>0.0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5">
        <f t="shared" si="1"/>
        <v>0</v>
      </c>
      <c r="K30" s="23">
        <v>0.0</v>
      </c>
      <c r="L30" s="23">
        <v>0.0</v>
      </c>
      <c r="M30" s="25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6">
        <f t="shared" si="3"/>
        <v>0</v>
      </c>
      <c r="T30" s="23">
        <v>0.0</v>
      </c>
      <c r="U30" s="23">
        <v>0.0</v>
      </c>
      <c r="V30" s="23">
        <v>0.0</v>
      </c>
      <c r="W30" s="23">
        <v>0.0</v>
      </c>
      <c r="X30" s="26">
        <f t="shared" si="4"/>
        <v>0</v>
      </c>
    </row>
    <row r="31">
      <c r="A31" s="20" t="s">
        <v>52</v>
      </c>
      <c r="B31" s="27">
        <v>14.0</v>
      </c>
      <c r="C31" s="22">
        <v>0.0</v>
      </c>
      <c r="D31" s="22">
        <v>14.0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5">
        <f t="shared" si="1"/>
        <v>14</v>
      </c>
      <c r="K31" s="23">
        <v>14.0</v>
      </c>
      <c r="L31" s="23">
        <v>0.0</v>
      </c>
      <c r="M31" s="25">
        <f t="shared" si="2"/>
        <v>14</v>
      </c>
      <c r="N31" s="23">
        <v>0.0</v>
      </c>
      <c r="O31" s="23">
        <v>3.0</v>
      </c>
      <c r="P31" s="23">
        <v>10.0</v>
      </c>
      <c r="Q31" s="23">
        <v>1.0</v>
      </c>
      <c r="R31" s="23">
        <v>0.0</v>
      </c>
      <c r="S31" s="26">
        <f t="shared" si="3"/>
        <v>14</v>
      </c>
      <c r="T31" s="23">
        <v>9.0</v>
      </c>
      <c r="U31" s="23">
        <v>0.0</v>
      </c>
      <c r="V31" s="23">
        <v>3.0</v>
      </c>
      <c r="W31" s="23">
        <v>2.0</v>
      </c>
      <c r="X31" s="26">
        <f t="shared" si="4"/>
        <v>14</v>
      </c>
    </row>
    <row r="32">
      <c r="A32" s="20" t="s">
        <v>53</v>
      </c>
      <c r="B32" s="21">
        <v>7.0</v>
      </c>
      <c r="C32" s="22">
        <v>0.0</v>
      </c>
      <c r="D32" s="22">
        <v>1.0</v>
      </c>
      <c r="E32" s="22">
        <v>0.0</v>
      </c>
      <c r="F32" s="22">
        <v>0.0</v>
      </c>
      <c r="G32" s="22">
        <v>0.0</v>
      </c>
      <c r="H32" s="22">
        <v>6.0</v>
      </c>
      <c r="I32" s="22">
        <v>0.0</v>
      </c>
      <c r="J32" s="25">
        <f t="shared" si="1"/>
        <v>7</v>
      </c>
      <c r="K32" s="23">
        <v>7.0</v>
      </c>
      <c r="L32" s="23">
        <v>0.0</v>
      </c>
      <c r="M32" s="25">
        <f t="shared" si="2"/>
        <v>7</v>
      </c>
      <c r="N32" s="23">
        <v>0.0</v>
      </c>
      <c r="O32" s="23">
        <v>0.0</v>
      </c>
      <c r="P32" s="23">
        <v>1.0</v>
      </c>
      <c r="Q32" s="23">
        <v>0.0</v>
      </c>
      <c r="R32" s="23">
        <v>6.0</v>
      </c>
      <c r="S32" s="26">
        <f t="shared" si="3"/>
        <v>7</v>
      </c>
      <c r="T32" s="23">
        <v>6.0</v>
      </c>
      <c r="U32" s="23">
        <v>0.0</v>
      </c>
      <c r="V32" s="23">
        <v>1.0</v>
      </c>
      <c r="W32" s="23">
        <v>0.0</v>
      </c>
      <c r="X32" s="26">
        <f t="shared" si="4"/>
        <v>7</v>
      </c>
    </row>
    <row r="33">
      <c r="A33" s="20" t="s">
        <v>54</v>
      </c>
      <c r="B33" s="21">
        <v>2.0</v>
      </c>
      <c r="C33" s="22">
        <v>0.0</v>
      </c>
      <c r="D33" s="22">
        <v>2.0</v>
      </c>
      <c r="E33" s="22">
        <v>0.0</v>
      </c>
      <c r="F33" s="22">
        <v>0.0</v>
      </c>
      <c r="G33" s="22">
        <v>0.0</v>
      </c>
      <c r="H33" s="22">
        <v>0.0</v>
      </c>
      <c r="I33" s="22">
        <v>0.0</v>
      </c>
      <c r="J33" s="25">
        <f t="shared" si="1"/>
        <v>2</v>
      </c>
      <c r="K33" s="23">
        <v>2.0</v>
      </c>
      <c r="L33" s="23">
        <v>0.0</v>
      </c>
      <c r="M33" s="25">
        <f t="shared" si="2"/>
        <v>2</v>
      </c>
      <c r="N33" s="23">
        <v>0.0</v>
      </c>
      <c r="O33" s="23">
        <v>2.0</v>
      </c>
      <c r="P33" s="23">
        <v>0.0</v>
      </c>
      <c r="Q33" s="23">
        <v>0.0</v>
      </c>
      <c r="R33" s="23">
        <v>0.0</v>
      </c>
      <c r="S33" s="26">
        <f t="shared" si="3"/>
        <v>2</v>
      </c>
      <c r="T33" s="23">
        <v>1.0</v>
      </c>
      <c r="U33" s="23">
        <v>0.0</v>
      </c>
      <c r="V33" s="23">
        <v>1.0</v>
      </c>
      <c r="W33" s="23">
        <v>0.0</v>
      </c>
      <c r="X33" s="26">
        <f t="shared" si="4"/>
        <v>2</v>
      </c>
    </row>
    <row r="34">
      <c r="A34" s="20" t="s">
        <v>55</v>
      </c>
      <c r="B34" s="27">
        <v>5.0</v>
      </c>
      <c r="C34" s="22">
        <v>1.0</v>
      </c>
      <c r="D34" s="22">
        <v>4.0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5">
        <f t="shared" si="1"/>
        <v>5</v>
      </c>
      <c r="K34" s="23">
        <v>5.0</v>
      </c>
      <c r="L34" s="23">
        <v>0.0</v>
      </c>
      <c r="M34" s="25">
        <f t="shared" si="2"/>
        <v>5</v>
      </c>
      <c r="N34" s="23">
        <v>0.0</v>
      </c>
      <c r="O34" s="23">
        <v>1.0</v>
      </c>
      <c r="P34" s="23">
        <v>4.0</v>
      </c>
      <c r="Q34" s="23">
        <v>0.0</v>
      </c>
      <c r="R34" s="23">
        <v>0.0</v>
      </c>
      <c r="S34" s="26">
        <f t="shared" si="3"/>
        <v>5</v>
      </c>
      <c r="T34" s="23">
        <v>3.0</v>
      </c>
      <c r="U34" s="23">
        <v>0.0</v>
      </c>
      <c r="V34" s="23">
        <v>1.0</v>
      </c>
      <c r="W34" s="23">
        <v>1.0</v>
      </c>
      <c r="X34" s="26">
        <f t="shared" si="4"/>
        <v>5</v>
      </c>
    </row>
    <row r="35">
      <c r="A35" s="20" t="s">
        <v>56</v>
      </c>
      <c r="B35" s="27">
        <v>0.0</v>
      </c>
      <c r="C35" s="22">
        <v>0.0</v>
      </c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7.0</v>
      </c>
      <c r="C36" s="22">
        <v>1.0</v>
      </c>
      <c r="D36" s="22">
        <v>6.0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5">
        <f t="shared" si="1"/>
        <v>7</v>
      </c>
      <c r="K36" s="23">
        <v>7.0</v>
      </c>
      <c r="L36" s="23">
        <v>0.0</v>
      </c>
      <c r="M36" s="25">
        <f t="shared" si="2"/>
        <v>7</v>
      </c>
      <c r="N36" s="23">
        <v>0.0</v>
      </c>
      <c r="O36" s="23">
        <v>3.0</v>
      </c>
      <c r="P36" s="23">
        <v>4.0</v>
      </c>
      <c r="Q36" s="23">
        <v>0.0</v>
      </c>
      <c r="R36" s="23">
        <v>0.0</v>
      </c>
      <c r="S36" s="26">
        <f t="shared" si="3"/>
        <v>7</v>
      </c>
      <c r="T36" s="23">
        <v>4.0</v>
      </c>
      <c r="U36" s="23">
        <v>0.0</v>
      </c>
      <c r="V36" s="23">
        <v>1.0</v>
      </c>
      <c r="W36" s="23">
        <v>2.0</v>
      </c>
      <c r="X36" s="26">
        <f t="shared" si="4"/>
        <v>7</v>
      </c>
    </row>
    <row r="37">
      <c r="A37" s="20" t="s">
        <v>58</v>
      </c>
      <c r="B37" s="21">
        <v>0.0</v>
      </c>
      <c r="C37" s="22">
        <v>0.0</v>
      </c>
      <c r="D37" s="22">
        <v>0.0</v>
      </c>
      <c r="E37" s="22">
        <v>0.0</v>
      </c>
      <c r="F37" s="22">
        <v>0.0</v>
      </c>
      <c r="G37" s="22">
        <v>0.0</v>
      </c>
      <c r="H37" s="22">
        <v>0.0</v>
      </c>
      <c r="I37" s="22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8">
        <v>0.0</v>
      </c>
      <c r="C38" s="22">
        <v>0.0</v>
      </c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5">
        <f t="shared" si="1"/>
        <v>0</v>
      </c>
      <c r="K38" s="23">
        <v>0.0</v>
      </c>
      <c r="L38" s="23">
        <v>0.0</v>
      </c>
      <c r="M38" s="25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6">
        <f t="shared" si="3"/>
        <v>0</v>
      </c>
      <c r="T38" s="23">
        <v>0.0</v>
      </c>
      <c r="U38" s="23">
        <v>0.0</v>
      </c>
      <c r="V38" s="23">
        <v>0.0</v>
      </c>
      <c r="W38" s="23">
        <v>0.0</v>
      </c>
      <c r="X38" s="26">
        <f t="shared" si="4"/>
        <v>0</v>
      </c>
      <c r="Y38" s="30"/>
      <c r="Z38" s="30"/>
    </row>
    <row r="39">
      <c r="A39" s="20" t="s">
        <v>60</v>
      </c>
      <c r="B39" s="28">
        <v>469.0</v>
      </c>
      <c r="C39" s="22">
        <v>3.0</v>
      </c>
      <c r="D39" s="22">
        <v>405.0</v>
      </c>
      <c r="E39" s="22">
        <v>0.0</v>
      </c>
      <c r="F39" s="22">
        <v>0.0</v>
      </c>
      <c r="G39" s="22">
        <v>0.0</v>
      </c>
      <c r="H39" s="22">
        <v>61.0</v>
      </c>
      <c r="I39" s="22">
        <v>0.0</v>
      </c>
      <c r="J39" s="25">
        <f t="shared" si="1"/>
        <v>469</v>
      </c>
      <c r="K39" s="23">
        <v>469.0</v>
      </c>
      <c r="L39" s="23">
        <v>0.0</v>
      </c>
      <c r="M39" s="25">
        <f t="shared" si="2"/>
        <v>469</v>
      </c>
      <c r="N39" s="23">
        <v>19.0</v>
      </c>
      <c r="O39" s="23">
        <v>2.0</v>
      </c>
      <c r="P39" s="23">
        <v>2.0</v>
      </c>
      <c r="Q39" s="23">
        <v>1.0</v>
      </c>
      <c r="R39" s="23">
        <v>445.0</v>
      </c>
      <c r="S39" s="26">
        <f t="shared" si="3"/>
        <v>469</v>
      </c>
      <c r="T39" s="23">
        <v>440.0</v>
      </c>
      <c r="U39" s="23">
        <v>1.0</v>
      </c>
      <c r="V39" s="23">
        <v>22.0</v>
      </c>
      <c r="W39" s="23">
        <v>6.0</v>
      </c>
      <c r="X39" s="26">
        <f t="shared" si="4"/>
        <v>469</v>
      </c>
      <c r="Y39" s="30"/>
      <c r="Z39" s="30"/>
    </row>
    <row r="40">
      <c r="A40" s="20" t="s">
        <v>61</v>
      </c>
      <c r="B40" s="28">
        <v>0.0</v>
      </c>
      <c r="C40" s="22">
        <v>0.0</v>
      </c>
      <c r="D40" s="22">
        <v>0.0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5">
        <f t="shared" si="1"/>
        <v>0</v>
      </c>
      <c r="K40" s="23">
        <v>0.0</v>
      </c>
      <c r="L40" s="23">
        <v>0.0</v>
      </c>
      <c r="M40" s="25">
        <f t="shared" si="2"/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6">
        <f t="shared" si="3"/>
        <v>0</v>
      </c>
      <c r="T40" s="23">
        <v>0.0</v>
      </c>
      <c r="U40" s="23">
        <v>0.0</v>
      </c>
      <c r="V40" s="23">
        <v>0.0</v>
      </c>
      <c r="W40" s="23">
        <v>0.0</v>
      </c>
      <c r="X40" s="26">
        <f t="shared" si="4"/>
        <v>0</v>
      </c>
      <c r="Y40" s="30"/>
      <c r="Z40" s="30"/>
    </row>
    <row r="41">
      <c r="A41" s="20" t="s">
        <v>62</v>
      </c>
      <c r="B41" s="27">
        <v>26.0</v>
      </c>
      <c r="C41" s="22">
        <v>1.0</v>
      </c>
      <c r="D41" s="22">
        <v>25.0</v>
      </c>
      <c r="E41" s="22">
        <v>0.0</v>
      </c>
      <c r="F41" s="22">
        <v>0.0</v>
      </c>
      <c r="G41" s="22">
        <v>0.0</v>
      </c>
      <c r="H41" s="22">
        <v>0.0</v>
      </c>
      <c r="I41" s="22">
        <v>0.0</v>
      </c>
      <c r="J41" s="25">
        <f t="shared" si="1"/>
        <v>26</v>
      </c>
      <c r="K41" s="23">
        <v>26.0</v>
      </c>
      <c r="L41" s="23">
        <v>0.0</v>
      </c>
      <c r="M41" s="25">
        <f t="shared" si="2"/>
        <v>26</v>
      </c>
      <c r="N41" s="23">
        <v>1.0</v>
      </c>
      <c r="O41" s="23">
        <v>1.0</v>
      </c>
      <c r="P41" s="23">
        <v>22.0</v>
      </c>
      <c r="Q41" s="23">
        <v>2.0</v>
      </c>
      <c r="R41" s="23">
        <v>0.0</v>
      </c>
      <c r="S41" s="26">
        <f t="shared" si="3"/>
        <v>26</v>
      </c>
      <c r="T41" s="23">
        <v>25.0</v>
      </c>
      <c r="U41" s="23">
        <v>0.0</v>
      </c>
      <c r="V41" s="23">
        <v>0.0</v>
      </c>
      <c r="W41" s="23">
        <v>1.0</v>
      </c>
      <c r="X41" s="26">
        <f t="shared" si="4"/>
        <v>26</v>
      </c>
    </row>
    <row r="42">
      <c r="A42" s="20" t="s">
        <v>63</v>
      </c>
      <c r="B42" s="27">
        <v>1.0</v>
      </c>
      <c r="C42" s="22">
        <v>0.0</v>
      </c>
      <c r="D42" s="22">
        <v>1.0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5">
        <f t="shared" si="1"/>
        <v>1</v>
      </c>
      <c r="K42" s="23">
        <v>1.0</v>
      </c>
      <c r="L42" s="23">
        <v>0.0</v>
      </c>
      <c r="M42" s="25">
        <f t="shared" si="2"/>
        <v>1</v>
      </c>
      <c r="N42" s="23">
        <v>0.0</v>
      </c>
      <c r="O42" s="23">
        <v>0.0</v>
      </c>
      <c r="P42" s="23">
        <v>1.0</v>
      </c>
      <c r="Q42" s="23">
        <v>0.0</v>
      </c>
      <c r="R42" s="23">
        <v>0.0</v>
      </c>
      <c r="S42" s="26">
        <f t="shared" si="3"/>
        <v>1</v>
      </c>
      <c r="T42" s="23">
        <v>0.0</v>
      </c>
      <c r="U42" s="23">
        <v>0.0</v>
      </c>
      <c r="V42" s="23">
        <v>1.0</v>
      </c>
      <c r="W42" s="23">
        <v>0.0</v>
      </c>
      <c r="X42" s="26">
        <f t="shared" si="4"/>
        <v>1</v>
      </c>
    </row>
    <row r="43">
      <c r="A43" s="20" t="s">
        <v>64</v>
      </c>
      <c r="B43" s="27">
        <v>0.0</v>
      </c>
      <c r="C43" s="22">
        <v>0.0</v>
      </c>
      <c r="D43" s="22">
        <v>0.0</v>
      </c>
      <c r="E43" s="22">
        <v>0.0</v>
      </c>
      <c r="F43" s="22">
        <v>0.0</v>
      </c>
      <c r="G43" s="22">
        <v>0.0</v>
      </c>
      <c r="H43" s="22">
        <v>0.0</v>
      </c>
      <c r="I43" s="22">
        <v>0.0</v>
      </c>
      <c r="J43" s="25">
        <f t="shared" si="1"/>
        <v>0</v>
      </c>
      <c r="K43" s="23">
        <v>0.0</v>
      </c>
      <c r="L43" s="23">
        <v>0.0</v>
      </c>
      <c r="M43" s="25">
        <f t="shared" si="2"/>
        <v>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6">
        <f t="shared" si="3"/>
        <v>0</v>
      </c>
      <c r="T43" s="23">
        <v>0.0</v>
      </c>
      <c r="U43" s="23">
        <v>0.0</v>
      </c>
      <c r="V43" s="23">
        <v>0.0</v>
      </c>
      <c r="W43" s="23">
        <v>0.0</v>
      </c>
      <c r="X43" s="26">
        <f t="shared" si="4"/>
        <v>0</v>
      </c>
    </row>
    <row r="44">
      <c r="A44" s="20" t="s">
        <v>65</v>
      </c>
      <c r="B44" s="27">
        <v>0.0</v>
      </c>
      <c r="C44" s="22">
        <v>0.0</v>
      </c>
      <c r="D44" s="22">
        <v>0.0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5">
        <f t="shared" si="1"/>
        <v>0</v>
      </c>
      <c r="K44" s="23">
        <v>0.0</v>
      </c>
      <c r="L44" s="23">
        <v>0.0</v>
      </c>
      <c r="M44" s="25">
        <f t="shared" si="2"/>
        <v>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6">
        <f t="shared" si="3"/>
        <v>0</v>
      </c>
      <c r="T44" s="23">
        <v>0.0</v>
      </c>
      <c r="U44" s="23">
        <v>0.0</v>
      </c>
      <c r="V44" s="23">
        <v>0.0</v>
      </c>
      <c r="W44" s="23">
        <v>0.0</v>
      </c>
      <c r="X44" s="26">
        <f t="shared" si="4"/>
        <v>0</v>
      </c>
    </row>
    <row r="45">
      <c r="A45" s="20" t="s">
        <v>66</v>
      </c>
      <c r="B45" s="27">
        <v>29.0</v>
      </c>
      <c r="C45" s="22">
        <v>5.0</v>
      </c>
      <c r="D45" s="22">
        <v>19.0</v>
      </c>
      <c r="E45" s="22">
        <v>0.0</v>
      </c>
      <c r="F45" s="22">
        <v>0.0</v>
      </c>
      <c r="G45" s="22">
        <v>0.0</v>
      </c>
      <c r="H45" s="22">
        <v>5.0</v>
      </c>
      <c r="I45" s="22">
        <v>0.0</v>
      </c>
      <c r="J45" s="25">
        <f t="shared" si="1"/>
        <v>29</v>
      </c>
      <c r="K45" s="23">
        <v>26.0</v>
      </c>
      <c r="L45" s="23">
        <v>3.0</v>
      </c>
      <c r="M45" s="25">
        <f t="shared" si="2"/>
        <v>29</v>
      </c>
      <c r="N45" s="23">
        <v>12.0</v>
      </c>
      <c r="O45" s="23">
        <v>17.0</v>
      </c>
      <c r="P45" s="23">
        <v>0.0</v>
      </c>
      <c r="Q45" s="23">
        <v>0.0</v>
      </c>
      <c r="R45" s="23">
        <v>0.0</v>
      </c>
      <c r="S45" s="26">
        <f t="shared" si="3"/>
        <v>29</v>
      </c>
      <c r="T45" s="23">
        <v>22.0</v>
      </c>
      <c r="U45" s="23">
        <v>0.0</v>
      </c>
      <c r="V45" s="23">
        <v>4.0</v>
      </c>
      <c r="W45" s="23">
        <v>3.0</v>
      </c>
      <c r="X45" s="26">
        <f t="shared" si="4"/>
        <v>29</v>
      </c>
    </row>
    <row r="46">
      <c r="A46" s="20" t="s">
        <v>67</v>
      </c>
      <c r="B46" s="27">
        <v>0.0</v>
      </c>
      <c r="C46" s="22">
        <v>0.0</v>
      </c>
      <c r="D46" s="22">
        <v>0.0</v>
      </c>
      <c r="E46" s="22">
        <v>0.0</v>
      </c>
      <c r="F46" s="22">
        <v>0.0</v>
      </c>
      <c r="G46" s="22">
        <v>0.0</v>
      </c>
      <c r="H46" s="22">
        <v>0.0</v>
      </c>
      <c r="I46" s="22">
        <v>0.0</v>
      </c>
      <c r="J46" s="25">
        <f t="shared" si="1"/>
        <v>0</v>
      </c>
      <c r="K46" s="23">
        <v>0.0</v>
      </c>
      <c r="L46" s="23">
        <v>0.0</v>
      </c>
      <c r="M46" s="25">
        <f t="shared" si="2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6">
        <f t="shared" si="3"/>
        <v>0</v>
      </c>
      <c r="T46" s="23">
        <v>0.0</v>
      </c>
      <c r="U46" s="23">
        <v>0.0</v>
      </c>
      <c r="V46" s="23">
        <v>0.0</v>
      </c>
      <c r="W46" s="23">
        <v>0.0</v>
      </c>
      <c r="X46" s="26">
        <f t="shared" si="4"/>
        <v>0</v>
      </c>
    </row>
    <row r="47">
      <c r="A47" s="20" t="s">
        <v>68</v>
      </c>
      <c r="B47" s="27">
        <v>7.0</v>
      </c>
      <c r="C47" s="22">
        <v>0.0</v>
      </c>
      <c r="D47" s="22">
        <v>4.0</v>
      </c>
      <c r="E47" s="22">
        <v>0.0</v>
      </c>
      <c r="F47" s="22">
        <v>0.0</v>
      </c>
      <c r="G47" s="22">
        <v>0.0</v>
      </c>
      <c r="H47" s="22">
        <v>3.0</v>
      </c>
      <c r="I47" s="22">
        <v>0.0</v>
      </c>
      <c r="J47" s="25">
        <f t="shared" si="1"/>
        <v>7</v>
      </c>
      <c r="K47" s="23">
        <v>7.0</v>
      </c>
      <c r="L47" s="23">
        <v>0.0</v>
      </c>
      <c r="M47" s="25">
        <f t="shared" si="2"/>
        <v>7</v>
      </c>
      <c r="N47" s="23">
        <v>7.0</v>
      </c>
      <c r="O47" s="23">
        <v>0.0</v>
      </c>
      <c r="P47" s="23">
        <v>0.0</v>
      </c>
      <c r="Q47" s="23">
        <v>0.0</v>
      </c>
      <c r="R47" s="23">
        <v>0.0</v>
      </c>
      <c r="S47" s="26">
        <f t="shared" si="3"/>
        <v>7</v>
      </c>
      <c r="T47" s="23">
        <v>7.0</v>
      </c>
      <c r="U47" s="23">
        <v>0.0</v>
      </c>
      <c r="V47" s="23">
        <v>0.0</v>
      </c>
      <c r="W47" s="23">
        <v>0.0</v>
      </c>
      <c r="X47" s="26">
        <f t="shared" si="4"/>
        <v>7</v>
      </c>
    </row>
    <row r="48">
      <c r="A48" s="20" t="s">
        <v>69</v>
      </c>
      <c r="B48" s="21">
        <v>0.0</v>
      </c>
      <c r="C48" s="22">
        <v>0.0</v>
      </c>
      <c r="D48" s="22">
        <v>0.0</v>
      </c>
      <c r="E48" s="22">
        <v>0.0</v>
      </c>
      <c r="F48" s="22">
        <v>0.0</v>
      </c>
      <c r="G48" s="22">
        <v>0.0</v>
      </c>
      <c r="H48" s="22">
        <v>0.0</v>
      </c>
      <c r="I48" s="22">
        <v>0.0</v>
      </c>
      <c r="J48" s="25">
        <f t="shared" si="1"/>
        <v>0</v>
      </c>
      <c r="K48" s="23">
        <v>0.0</v>
      </c>
      <c r="L48" s="23">
        <v>0.0</v>
      </c>
      <c r="M48" s="25">
        <f t="shared" si="2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6">
        <f t="shared" si="3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4"/>
        <v>0</v>
      </c>
    </row>
    <row r="49">
      <c r="A49" s="20" t="s">
        <v>70</v>
      </c>
      <c r="B49" s="21">
        <v>4.0</v>
      </c>
      <c r="C49" s="22">
        <v>0.0</v>
      </c>
      <c r="D49" s="22">
        <v>2.0</v>
      </c>
      <c r="E49" s="22">
        <v>0.0</v>
      </c>
      <c r="F49" s="22">
        <v>0.0</v>
      </c>
      <c r="G49" s="22">
        <v>0.0</v>
      </c>
      <c r="H49" s="22">
        <v>2.0</v>
      </c>
      <c r="I49" s="22">
        <v>0.0</v>
      </c>
      <c r="J49" s="25">
        <f t="shared" si="1"/>
        <v>4</v>
      </c>
      <c r="K49" s="23">
        <v>4.0</v>
      </c>
      <c r="L49" s="23">
        <v>0.0</v>
      </c>
      <c r="M49" s="25">
        <f t="shared" si="2"/>
        <v>4</v>
      </c>
      <c r="N49" s="23">
        <v>0.0</v>
      </c>
      <c r="O49" s="23">
        <v>4.0</v>
      </c>
      <c r="P49" s="23">
        <v>0.0</v>
      </c>
      <c r="Q49" s="23">
        <v>0.0</v>
      </c>
      <c r="R49" s="23">
        <v>0.0</v>
      </c>
      <c r="S49" s="26">
        <f t="shared" si="3"/>
        <v>4</v>
      </c>
      <c r="T49" s="23">
        <v>4.0</v>
      </c>
      <c r="U49" s="23">
        <v>0.0</v>
      </c>
      <c r="V49" s="23">
        <v>0.0</v>
      </c>
      <c r="W49" s="23">
        <v>0.0</v>
      </c>
      <c r="X49" s="26">
        <f t="shared" si="4"/>
        <v>4</v>
      </c>
    </row>
    <row r="50">
      <c r="A50" s="20" t="s">
        <v>71</v>
      </c>
      <c r="B50" s="21">
        <v>84.0</v>
      </c>
      <c r="C50" s="22">
        <v>23.0</v>
      </c>
      <c r="D50" s="22">
        <v>53.0</v>
      </c>
      <c r="E50" s="22">
        <v>0.0</v>
      </c>
      <c r="F50" s="22">
        <v>0.0</v>
      </c>
      <c r="G50" s="22">
        <v>0.0</v>
      </c>
      <c r="H50" s="22">
        <v>7.0</v>
      </c>
      <c r="I50" s="22">
        <v>1.0</v>
      </c>
      <c r="J50" s="25">
        <f t="shared" si="1"/>
        <v>84</v>
      </c>
      <c r="K50" s="23">
        <v>73.0</v>
      </c>
      <c r="L50" s="23">
        <v>11.0</v>
      </c>
      <c r="M50" s="25">
        <f t="shared" si="2"/>
        <v>84</v>
      </c>
      <c r="N50" s="23">
        <v>14.0</v>
      </c>
      <c r="O50" s="23">
        <v>70.0</v>
      </c>
      <c r="P50" s="23">
        <v>0.0</v>
      </c>
      <c r="Q50" s="23">
        <v>0.0</v>
      </c>
      <c r="R50" s="23">
        <v>0.0</v>
      </c>
      <c r="S50" s="26">
        <f t="shared" si="3"/>
        <v>84</v>
      </c>
      <c r="T50" s="23">
        <v>65.0</v>
      </c>
      <c r="U50" s="23">
        <v>0.0</v>
      </c>
      <c r="V50" s="23">
        <v>10.0</v>
      </c>
      <c r="W50" s="23">
        <v>9.0</v>
      </c>
      <c r="X50" s="26">
        <f t="shared" si="4"/>
        <v>84</v>
      </c>
    </row>
    <row r="51">
      <c r="A51" s="20" t="s">
        <v>72</v>
      </c>
      <c r="B51" s="21">
        <v>1.0</v>
      </c>
      <c r="C51" s="22">
        <v>0.0</v>
      </c>
      <c r="D51" s="22">
        <v>1.0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5">
        <f t="shared" si="1"/>
        <v>1</v>
      </c>
      <c r="K51" s="23">
        <v>1.0</v>
      </c>
      <c r="L51" s="23">
        <v>0.0</v>
      </c>
      <c r="M51" s="25">
        <f t="shared" si="2"/>
        <v>1</v>
      </c>
      <c r="N51" s="23">
        <v>0.0</v>
      </c>
      <c r="O51" s="23">
        <v>0.0</v>
      </c>
      <c r="P51" s="23">
        <v>1.0</v>
      </c>
      <c r="Q51" s="23">
        <v>0.0</v>
      </c>
      <c r="R51" s="23">
        <v>0.0</v>
      </c>
      <c r="S51" s="26">
        <f t="shared" si="3"/>
        <v>1</v>
      </c>
      <c r="T51" s="23">
        <v>1.0</v>
      </c>
      <c r="U51" s="23">
        <v>0.0</v>
      </c>
      <c r="V51" s="23">
        <v>0.0</v>
      </c>
      <c r="W51" s="23">
        <v>0.0</v>
      </c>
      <c r="X51" s="26">
        <f t="shared" si="4"/>
        <v>1</v>
      </c>
    </row>
    <row r="52">
      <c r="A52" s="20" t="s">
        <v>73</v>
      </c>
      <c r="B52" s="31">
        <v>0.0</v>
      </c>
      <c r="C52" s="22">
        <v>0.0</v>
      </c>
      <c r="D52" s="22">
        <v>0.0</v>
      </c>
      <c r="E52" s="22">
        <v>0.0</v>
      </c>
      <c r="F52" s="22">
        <v>0.0</v>
      </c>
      <c r="G52" s="22">
        <v>0.0</v>
      </c>
      <c r="H52" s="22">
        <v>0.0</v>
      </c>
      <c r="I52" s="22">
        <v>0.0</v>
      </c>
      <c r="J52" s="25">
        <f t="shared" si="1"/>
        <v>0</v>
      </c>
      <c r="K52" s="23">
        <v>0.0</v>
      </c>
      <c r="L52" s="23">
        <v>0.0</v>
      </c>
      <c r="M52" s="25">
        <f t="shared" si="2"/>
        <v>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6">
        <f t="shared" si="3"/>
        <v>0</v>
      </c>
      <c r="T52" s="23">
        <v>0.0</v>
      </c>
      <c r="U52" s="23">
        <v>0.0</v>
      </c>
      <c r="V52" s="23">
        <v>0.0</v>
      </c>
      <c r="W52" s="23">
        <v>0.0</v>
      </c>
      <c r="X52" s="26">
        <f t="shared" si="4"/>
        <v>0</v>
      </c>
    </row>
    <row r="53">
      <c r="A53" s="20" t="s">
        <v>74</v>
      </c>
      <c r="B53" s="31">
        <v>35.0</v>
      </c>
      <c r="C53" s="22">
        <v>0.0</v>
      </c>
      <c r="D53" s="22">
        <v>35.0</v>
      </c>
      <c r="E53" s="22">
        <v>0.0</v>
      </c>
      <c r="F53" s="22">
        <v>0.0</v>
      </c>
      <c r="G53" s="22">
        <v>0.0</v>
      </c>
      <c r="H53" s="22">
        <v>0.0</v>
      </c>
      <c r="I53" s="22">
        <v>0.0</v>
      </c>
      <c r="J53" s="25">
        <f t="shared" si="1"/>
        <v>35</v>
      </c>
      <c r="K53" s="23">
        <v>35.0</v>
      </c>
      <c r="L53" s="23">
        <v>0.0</v>
      </c>
      <c r="M53" s="25">
        <f t="shared" si="2"/>
        <v>35</v>
      </c>
      <c r="N53" s="23">
        <v>24.0</v>
      </c>
      <c r="O53" s="23">
        <v>5.0</v>
      </c>
      <c r="P53" s="23">
        <v>1.0</v>
      </c>
      <c r="Q53" s="23">
        <v>0.0</v>
      </c>
      <c r="R53" s="23">
        <v>5.0</v>
      </c>
      <c r="S53" s="26">
        <f t="shared" si="3"/>
        <v>35</v>
      </c>
      <c r="T53" s="23">
        <v>10.0</v>
      </c>
      <c r="U53" s="23">
        <v>0.0</v>
      </c>
      <c r="V53" s="23">
        <v>23.0</v>
      </c>
      <c r="W53" s="23">
        <v>2.0</v>
      </c>
      <c r="X53" s="26">
        <f t="shared" si="4"/>
        <v>35</v>
      </c>
    </row>
    <row r="54">
      <c r="A54" s="20" t="s">
        <v>75</v>
      </c>
      <c r="B54" s="31">
        <v>1.0</v>
      </c>
      <c r="C54" s="22">
        <v>0.0</v>
      </c>
      <c r="D54" s="22">
        <v>1.0</v>
      </c>
      <c r="E54" s="22">
        <v>0.0</v>
      </c>
      <c r="F54" s="22">
        <v>0.0</v>
      </c>
      <c r="G54" s="22">
        <v>0.0</v>
      </c>
      <c r="H54" s="22">
        <v>0.0</v>
      </c>
      <c r="I54" s="22">
        <v>0.0</v>
      </c>
      <c r="J54" s="25">
        <f t="shared" si="1"/>
        <v>1</v>
      </c>
      <c r="K54" s="23">
        <v>1.0</v>
      </c>
      <c r="L54" s="23">
        <v>0.0</v>
      </c>
      <c r="M54" s="25">
        <f t="shared" si="2"/>
        <v>1</v>
      </c>
      <c r="N54" s="23">
        <v>1.0</v>
      </c>
      <c r="O54" s="23">
        <v>0.0</v>
      </c>
      <c r="P54" s="23">
        <v>0.0</v>
      </c>
      <c r="Q54" s="23">
        <v>0.0</v>
      </c>
      <c r="R54" s="23">
        <v>0.0</v>
      </c>
      <c r="S54" s="26">
        <f t="shared" si="3"/>
        <v>1</v>
      </c>
      <c r="T54" s="23">
        <v>0.0</v>
      </c>
      <c r="U54" s="23">
        <v>0.0</v>
      </c>
      <c r="V54" s="23">
        <v>1.0</v>
      </c>
      <c r="W54" s="23">
        <v>0.0</v>
      </c>
      <c r="X54" s="26">
        <f t="shared" si="4"/>
        <v>1</v>
      </c>
    </row>
    <row r="55">
      <c r="A55" s="20" t="s">
        <v>76</v>
      </c>
      <c r="B55" s="31">
        <v>0.0</v>
      </c>
      <c r="C55" s="22">
        <v>0.0</v>
      </c>
      <c r="D55" s="22">
        <v>0.0</v>
      </c>
      <c r="E55" s="22">
        <v>0.0</v>
      </c>
      <c r="F55" s="22">
        <v>0.0</v>
      </c>
      <c r="G55" s="22">
        <v>0.0</v>
      </c>
      <c r="H55" s="22">
        <v>0.0</v>
      </c>
      <c r="I55" s="22">
        <v>0.0</v>
      </c>
      <c r="J55" s="25">
        <f t="shared" si="1"/>
        <v>0</v>
      </c>
      <c r="K55" s="23">
        <v>0.0</v>
      </c>
      <c r="L55" s="23">
        <v>0.0</v>
      </c>
      <c r="M55" s="25">
        <f t="shared" si="2"/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6">
        <f t="shared" si="3"/>
        <v>0</v>
      </c>
      <c r="T55" s="23">
        <v>0.0</v>
      </c>
      <c r="U55" s="23">
        <v>0.0</v>
      </c>
      <c r="V55" s="23">
        <v>0.0</v>
      </c>
      <c r="W55" s="23">
        <v>0.0</v>
      </c>
      <c r="X55" s="26">
        <f t="shared" si="4"/>
        <v>0</v>
      </c>
    </row>
    <row r="56">
      <c r="A56" s="20" t="s">
        <v>77</v>
      </c>
      <c r="B56" s="31">
        <v>13.0</v>
      </c>
      <c r="C56" s="22">
        <v>0.0</v>
      </c>
      <c r="D56" s="22">
        <v>13.0</v>
      </c>
      <c r="E56" s="22">
        <v>0.0</v>
      </c>
      <c r="F56" s="22">
        <v>0.0</v>
      </c>
      <c r="G56" s="22">
        <v>0.0</v>
      </c>
      <c r="H56" s="22">
        <v>0.0</v>
      </c>
      <c r="I56" s="22">
        <v>0.0</v>
      </c>
      <c r="J56" s="25">
        <f t="shared" si="1"/>
        <v>13</v>
      </c>
      <c r="K56" s="23">
        <v>12.0</v>
      </c>
      <c r="L56" s="23">
        <v>1.0</v>
      </c>
      <c r="M56" s="25">
        <f t="shared" si="2"/>
        <v>13</v>
      </c>
      <c r="N56" s="23">
        <v>5.0</v>
      </c>
      <c r="O56" s="23">
        <v>5.0</v>
      </c>
      <c r="P56" s="23">
        <v>1.0</v>
      </c>
      <c r="Q56" s="23">
        <v>1.0</v>
      </c>
      <c r="R56" s="23">
        <v>1.0</v>
      </c>
      <c r="S56" s="26">
        <f t="shared" si="3"/>
        <v>13</v>
      </c>
      <c r="T56" s="23">
        <v>12.0</v>
      </c>
      <c r="U56" s="23">
        <v>0.0</v>
      </c>
      <c r="V56" s="23">
        <v>1.0</v>
      </c>
      <c r="W56" s="23">
        <v>0.0</v>
      </c>
      <c r="X56" s="26">
        <f t="shared" si="4"/>
        <v>13</v>
      </c>
    </row>
    <row r="57">
      <c r="A57" s="20" t="s">
        <v>78</v>
      </c>
      <c r="B57" s="34">
        <v>2.0</v>
      </c>
      <c r="C57" s="22">
        <v>0.0</v>
      </c>
      <c r="D57" s="22">
        <v>2.0</v>
      </c>
      <c r="E57" s="22">
        <v>0.0</v>
      </c>
      <c r="F57" s="22">
        <v>0.0</v>
      </c>
      <c r="G57" s="22">
        <v>0.0</v>
      </c>
      <c r="H57" s="22">
        <v>0.0</v>
      </c>
      <c r="I57" s="22">
        <v>0.0</v>
      </c>
      <c r="J57" s="25">
        <f t="shared" si="1"/>
        <v>2</v>
      </c>
      <c r="K57" s="23">
        <v>2.0</v>
      </c>
      <c r="L57" s="23">
        <v>0.0</v>
      </c>
      <c r="M57" s="25">
        <f t="shared" si="2"/>
        <v>2</v>
      </c>
      <c r="N57" s="23">
        <v>0.0</v>
      </c>
      <c r="O57" s="23">
        <v>0.0</v>
      </c>
      <c r="P57" s="23">
        <v>2.0</v>
      </c>
      <c r="Q57" s="23">
        <v>0.0</v>
      </c>
      <c r="R57" s="23">
        <v>0.0</v>
      </c>
      <c r="S57" s="26">
        <f t="shared" si="3"/>
        <v>2</v>
      </c>
      <c r="T57" s="23">
        <v>1.0</v>
      </c>
      <c r="U57" s="23">
        <v>0.0</v>
      </c>
      <c r="V57" s="23">
        <v>1.0</v>
      </c>
      <c r="W57" s="23">
        <v>0.0</v>
      </c>
      <c r="X57" s="26">
        <f t="shared" si="4"/>
        <v>2</v>
      </c>
    </row>
    <row r="58">
      <c r="A58" s="20" t="s">
        <v>79</v>
      </c>
      <c r="B58" s="31">
        <v>0.0</v>
      </c>
      <c r="C58" s="22">
        <v>0.0</v>
      </c>
      <c r="D58" s="22">
        <v>0.0</v>
      </c>
      <c r="E58" s="22">
        <v>0.0</v>
      </c>
      <c r="F58" s="22">
        <v>0.0</v>
      </c>
      <c r="G58" s="22">
        <v>0.0</v>
      </c>
      <c r="H58" s="22">
        <v>0.0</v>
      </c>
      <c r="I58" s="22">
        <v>0.0</v>
      </c>
      <c r="J58" s="25">
        <f t="shared" si="1"/>
        <v>0</v>
      </c>
      <c r="K58" s="23">
        <v>0.0</v>
      </c>
      <c r="L58" s="23">
        <v>0.0</v>
      </c>
      <c r="M58" s="25">
        <f t="shared" si="2"/>
        <v>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6">
        <f t="shared" si="3"/>
        <v>0</v>
      </c>
      <c r="T58" s="23">
        <v>0.0</v>
      </c>
      <c r="U58" s="23">
        <v>0.0</v>
      </c>
      <c r="V58" s="23">
        <v>0.0</v>
      </c>
      <c r="W58" s="23">
        <v>0.0</v>
      </c>
      <c r="X58" s="26">
        <f t="shared" si="4"/>
        <v>0</v>
      </c>
    </row>
    <row r="59">
      <c r="A59" s="20" t="s">
        <v>80</v>
      </c>
      <c r="B59" s="31">
        <v>1.0</v>
      </c>
      <c r="C59" s="22">
        <v>0.0</v>
      </c>
      <c r="D59" s="22">
        <v>1.0</v>
      </c>
      <c r="E59" s="22">
        <v>0.0</v>
      </c>
      <c r="F59" s="22">
        <v>0.0</v>
      </c>
      <c r="G59" s="22">
        <v>0.0</v>
      </c>
      <c r="H59" s="22">
        <v>0.0</v>
      </c>
      <c r="I59" s="22">
        <v>0.0</v>
      </c>
      <c r="J59" s="25">
        <f t="shared" si="1"/>
        <v>1</v>
      </c>
      <c r="K59" s="23">
        <v>0.0</v>
      </c>
      <c r="L59" s="23">
        <v>1.0</v>
      </c>
      <c r="M59" s="25">
        <f t="shared" si="2"/>
        <v>1</v>
      </c>
      <c r="N59" s="23">
        <v>0.0</v>
      </c>
      <c r="O59" s="23">
        <v>0.0</v>
      </c>
      <c r="P59" s="23">
        <v>1.0</v>
      </c>
      <c r="Q59" s="23">
        <v>0.0</v>
      </c>
      <c r="R59" s="23">
        <v>0.0</v>
      </c>
      <c r="S59" s="26">
        <f t="shared" si="3"/>
        <v>1</v>
      </c>
      <c r="T59" s="23">
        <v>0.0</v>
      </c>
      <c r="U59" s="23">
        <v>0.0</v>
      </c>
      <c r="V59" s="23">
        <v>1.0</v>
      </c>
      <c r="W59" s="23">
        <v>0.0</v>
      </c>
      <c r="X59" s="26">
        <f t="shared" si="4"/>
        <v>1</v>
      </c>
    </row>
    <row r="60">
      <c r="A60" s="20" t="s">
        <v>81</v>
      </c>
      <c r="B60" s="31">
        <v>0.0</v>
      </c>
      <c r="C60" s="22">
        <v>0.0</v>
      </c>
      <c r="D60" s="22">
        <v>0.0</v>
      </c>
      <c r="E60" s="22">
        <v>0.0</v>
      </c>
      <c r="F60" s="22">
        <v>0.0</v>
      </c>
      <c r="G60" s="22">
        <v>0.0</v>
      </c>
      <c r="H60" s="22">
        <v>0.0</v>
      </c>
      <c r="I60" s="22">
        <v>0.0</v>
      </c>
      <c r="J60" s="25">
        <f t="shared" si="1"/>
        <v>0</v>
      </c>
      <c r="K60" s="23">
        <v>0.0</v>
      </c>
      <c r="L60" s="23">
        <v>0.0</v>
      </c>
      <c r="M60" s="25">
        <f t="shared" si="2"/>
        <v>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6">
        <f t="shared" si="3"/>
        <v>0</v>
      </c>
      <c r="T60" s="23">
        <v>0.0</v>
      </c>
      <c r="U60" s="23">
        <v>0.0</v>
      </c>
      <c r="V60" s="23">
        <v>0.0</v>
      </c>
      <c r="W60" s="23">
        <v>0.0</v>
      </c>
      <c r="X60" s="26">
        <f t="shared" si="4"/>
        <v>0</v>
      </c>
    </row>
    <row r="61">
      <c r="A61" s="20" t="s">
        <v>82</v>
      </c>
      <c r="B61" s="31">
        <v>4.0</v>
      </c>
      <c r="C61" s="22">
        <v>2.0</v>
      </c>
      <c r="D61" s="22">
        <v>0.0</v>
      </c>
      <c r="E61" s="22">
        <v>0.0</v>
      </c>
      <c r="F61" s="22">
        <v>0.0</v>
      </c>
      <c r="G61" s="22">
        <v>0.0</v>
      </c>
      <c r="H61" s="22">
        <v>2.0</v>
      </c>
      <c r="I61" s="22">
        <v>0.0</v>
      </c>
      <c r="J61" s="25">
        <f t="shared" si="1"/>
        <v>4</v>
      </c>
      <c r="K61" s="23">
        <v>3.0</v>
      </c>
      <c r="L61" s="23">
        <v>1.0</v>
      </c>
      <c r="M61" s="25">
        <f t="shared" si="2"/>
        <v>4</v>
      </c>
      <c r="N61" s="23">
        <v>0.0</v>
      </c>
      <c r="O61" s="23">
        <v>4.0</v>
      </c>
      <c r="P61" s="23">
        <v>0.0</v>
      </c>
      <c r="Q61" s="23">
        <v>0.0</v>
      </c>
      <c r="R61" s="23">
        <v>0.0</v>
      </c>
      <c r="S61" s="26">
        <f t="shared" si="3"/>
        <v>4</v>
      </c>
      <c r="T61" s="23">
        <v>3.0</v>
      </c>
      <c r="U61" s="23">
        <v>0.0</v>
      </c>
      <c r="V61" s="23">
        <v>0.0</v>
      </c>
      <c r="W61" s="23">
        <v>1.0</v>
      </c>
      <c r="X61" s="26">
        <f t="shared" si="4"/>
        <v>4</v>
      </c>
    </row>
    <row r="62">
      <c r="A62" s="20" t="s">
        <v>83</v>
      </c>
      <c r="B62" s="31">
        <v>1.0</v>
      </c>
      <c r="C62" s="22">
        <v>0.0</v>
      </c>
      <c r="D62" s="22">
        <v>1.0</v>
      </c>
      <c r="E62" s="22">
        <v>0.0</v>
      </c>
      <c r="F62" s="22">
        <v>0.0</v>
      </c>
      <c r="G62" s="22">
        <v>0.0</v>
      </c>
      <c r="H62" s="22">
        <v>0.0</v>
      </c>
      <c r="I62" s="22">
        <v>0.0</v>
      </c>
      <c r="J62" s="25">
        <f t="shared" si="1"/>
        <v>1</v>
      </c>
      <c r="K62" s="23">
        <v>1.0</v>
      </c>
      <c r="L62" s="23">
        <v>0.0</v>
      </c>
      <c r="M62" s="25">
        <f t="shared" si="2"/>
        <v>1</v>
      </c>
      <c r="N62" s="23">
        <v>0.0</v>
      </c>
      <c r="O62" s="23">
        <v>1.0</v>
      </c>
      <c r="P62" s="23">
        <v>0.0</v>
      </c>
      <c r="Q62" s="23">
        <v>0.0</v>
      </c>
      <c r="R62" s="23">
        <v>0.0</v>
      </c>
      <c r="S62" s="26">
        <f t="shared" si="3"/>
        <v>1</v>
      </c>
      <c r="T62" s="23">
        <v>0.0</v>
      </c>
      <c r="U62" s="23">
        <v>0.0</v>
      </c>
      <c r="V62" s="23">
        <v>1.0</v>
      </c>
      <c r="W62" s="23">
        <v>0.0</v>
      </c>
      <c r="X62" s="26">
        <f t="shared" si="4"/>
        <v>1</v>
      </c>
    </row>
    <row r="63">
      <c r="A63" s="20" t="s">
        <v>84</v>
      </c>
      <c r="B63" s="31">
        <v>15.0</v>
      </c>
      <c r="C63" s="22">
        <v>0.0</v>
      </c>
      <c r="D63" s="22">
        <v>15.0</v>
      </c>
      <c r="E63" s="22">
        <v>0.0</v>
      </c>
      <c r="F63" s="22">
        <v>0.0</v>
      </c>
      <c r="G63" s="22">
        <v>0.0</v>
      </c>
      <c r="H63" s="22">
        <v>0.0</v>
      </c>
      <c r="I63" s="22">
        <v>0.0</v>
      </c>
      <c r="J63" s="25">
        <f t="shared" si="1"/>
        <v>15</v>
      </c>
      <c r="K63" s="23">
        <v>15.0</v>
      </c>
      <c r="L63" s="23">
        <v>0.0</v>
      </c>
      <c r="M63" s="25">
        <f t="shared" si="2"/>
        <v>15</v>
      </c>
      <c r="N63" s="23">
        <v>3.0</v>
      </c>
      <c r="O63" s="23">
        <v>0.0</v>
      </c>
      <c r="P63" s="23">
        <v>0.0</v>
      </c>
      <c r="Q63" s="23">
        <v>0.0</v>
      </c>
      <c r="R63" s="23">
        <v>12.0</v>
      </c>
      <c r="S63" s="26">
        <f t="shared" si="3"/>
        <v>15</v>
      </c>
      <c r="T63" s="23">
        <v>14.0</v>
      </c>
      <c r="U63" s="23">
        <v>1.0</v>
      </c>
      <c r="V63" s="23">
        <v>0.0</v>
      </c>
      <c r="W63" s="23">
        <v>0.0</v>
      </c>
      <c r="X63" s="26">
        <f t="shared" si="4"/>
        <v>15</v>
      </c>
    </row>
    <row r="64">
      <c r="A64" s="20" t="s">
        <v>85</v>
      </c>
      <c r="B64" s="31">
        <v>3.0</v>
      </c>
      <c r="C64" s="22">
        <v>0.0</v>
      </c>
      <c r="D64" s="22">
        <v>2.0</v>
      </c>
      <c r="E64" s="22">
        <v>0.0</v>
      </c>
      <c r="F64" s="22">
        <v>0.0</v>
      </c>
      <c r="G64" s="22">
        <v>0.0</v>
      </c>
      <c r="H64" s="22">
        <v>0.0</v>
      </c>
      <c r="I64" s="22">
        <v>1.0</v>
      </c>
      <c r="J64" s="25">
        <f t="shared" si="1"/>
        <v>3</v>
      </c>
      <c r="K64" s="23">
        <v>3.0</v>
      </c>
      <c r="L64" s="23">
        <v>0.0</v>
      </c>
      <c r="M64" s="25">
        <f t="shared" si="2"/>
        <v>3</v>
      </c>
      <c r="N64" s="23">
        <v>2.0</v>
      </c>
      <c r="O64" s="23">
        <v>0.0</v>
      </c>
      <c r="P64" s="23">
        <v>0.0</v>
      </c>
      <c r="Q64" s="23">
        <v>0.0</v>
      </c>
      <c r="R64" s="23">
        <v>1.0</v>
      </c>
      <c r="S64" s="26">
        <f t="shared" si="3"/>
        <v>3</v>
      </c>
      <c r="T64" s="23">
        <v>3.0</v>
      </c>
      <c r="U64" s="23">
        <v>0.0</v>
      </c>
      <c r="V64" s="23">
        <v>0.0</v>
      </c>
      <c r="W64" s="23">
        <v>0.0</v>
      </c>
      <c r="X64" s="26">
        <f t="shared" si="4"/>
        <v>3</v>
      </c>
    </row>
    <row r="65">
      <c r="A65" s="20" t="s">
        <v>86</v>
      </c>
      <c r="B65" s="31">
        <v>0.0</v>
      </c>
      <c r="C65" s="22">
        <v>0.0</v>
      </c>
      <c r="D65" s="22">
        <v>0.0</v>
      </c>
      <c r="E65" s="22">
        <v>0.0</v>
      </c>
      <c r="F65" s="22">
        <v>0.0</v>
      </c>
      <c r="G65" s="22">
        <v>0.0</v>
      </c>
      <c r="H65" s="22">
        <v>0.0</v>
      </c>
      <c r="I65" s="22">
        <v>0.0</v>
      </c>
      <c r="J65" s="25">
        <f t="shared" si="1"/>
        <v>0</v>
      </c>
      <c r="K65" s="23">
        <v>0.0</v>
      </c>
      <c r="L65" s="23">
        <v>0.0</v>
      </c>
      <c r="M65" s="25">
        <f t="shared" si="2"/>
        <v>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6">
        <f t="shared" si="3"/>
        <v>0</v>
      </c>
      <c r="T65" s="23">
        <v>0.0</v>
      </c>
      <c r="U65" s="23">
        <v>0.0</v>
      </c>
      <c r="V65" s="23">
        <v>0.0</v>
      </c>
      <c r="W65" s="23">
        <v>0.0</v>
      </c>
      <c r="X65" s="26">
        <f t="shared" si="4"/>
        <v>0</v>
      </c>
    </row>
    <row r="66">
      <c r="A66" s="31" t="s">
        <v>13</v>
      </c>
      <c r="B66" s="35">
        <f t="shared" ref="B66:X66" si="5">SUM(B4:B65)</f>
        <v>932</v>
      </c>
      <c r="C66" s="35">
        <f t="shared" si="5"/>
        <v>40</v>
      </c>
      <c r="D66" s="35">
        <f t="shared" si="5"/>
        <v>788</v>
      </c>
      <c r="E66" s="35">
        <f t="shared" si="5"/>
        <v>0</v>
      </c>
      <c r="F66" s="35">
        <f t="shared" si="5"/>
        <v>0</v>
      </c>
      <c r="G66" s="35">
        <f t="shared" si="5"/>
        <v>0</v>
      </c>
      <c r="H66" s="35">
        <f t="shared" si="5"/>
        <v>102</v>
      </c>
      <c r="I66" s="35">
        <f t="shared" si="5"/>
        <v>2</v>
      </c>
      <c r="J66" s="35">
        <f t="shared" si="5"/>
        <v>932</v>
      </c>
      <c r="K66" s="35">
        <f t="shared" si="5"/>
        <v>909</v>
      </c>
      <c r="L66" s="35">
        <f t="shared" si="5"/>
        <v>23</v>
      </c>
      <c r="M66" s="35">
        <f t="shared" si="5"/>
        <v>932</v>
      </c>
      <c r="N66" s="35">
        <f t="shared" si="5"/>
        <v>120</v>
      </c>
      <c r="O66" s="35">
        <f t="shared" si="5"/>
        <v>157</v>
      </c>
      <c r="P66" s="35">
        <f t="shared" si="5"/>
        <v>80</v>
      </c>
      <c r="Q66" s="35">
        <f t="shared" si="5"/>
        <v>8</v>
      </c>
      <c r="R66" s="35">
        <f t="shared" si="5"/>
        <v>567</v>
      </c>
      <c r="S66" s="35">
        <f t="shared" si="5"/>
        <v>932</v>
      </c>
      <c r="T66" s="35">
        <f t="shared" si="5"/>
        <v>814</v>
      </c>
      <c r="U66" s="35">
        <f t="shared" si="5"/>
        <v>3</v>
      </c>
      <c r="V66" s="35">
        <f t="shared" si="5"/>
        <v>82</v>
      </c>
      <c r="W66" s="35">
        <f t="shared" si="5"/>
        <v>33</v>
      </c>
      <c r="X66" s="35">
        <f t="shared" si="5"/>
        <v>932</v>
      </c>
    </row>
    <row r="67">
      <c r="B67" s="38"/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5"/>
      <c r="T1" s="8" t="s">
        <v>4</v>
      </c>
      <c r="U1" s="4"/>
      <c r="V1" s="4"/>
      <c r="W1" s="4"/>
      <c r="X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2"/>
      <c r="T2" s="11"/>
      <c r="U2" s="11"/>
      <c r="V2" s="11"/>
      <c r="W2" s="11"/>
      <c r="X2" s="12"/>
    </row>
    <row r="3">
      <c r="A3" s="13" t="str">
        <f>IF((B51+J51+M51+S51+X51)/5=B51,"Todo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7" t="s">
        <v>17</v>
      </c>
      <c r="P3" s="17" t="s">
        <v>18</v>
      </c>
      <c r="Q3" s="17" t="s">
        <v>19</v>
      </c>
      <c r="R3" s="17" t="s">
        <v>20</v>
      </c>
      <c r="S3" s="18" t="s">
        <v>13</v>
      </c>
      <c r="T3" s="19" t="s">
        <v>21</v>
      </c>
      <c r="U3" s="19" t="s">
        <v>22</v>
      </c>
      <c r="V3" s="19" t="s">
        <v>23</v>
      </c>
      <c r="W3" s="19" t="s">
        <v>24</v>
      </c>
      <c r="X3" s="19" t="s">
        <v>13</v>
      </c>
    </row>
    <row r="4">
      <c r="A4" s="20" t="s">
        <v>25</v>
      </c>
      <c r="B4" s="21">
        <v>17.0</v>
      </c>
      <c r="C4" s="22"/>
      <c r="D4" s="22">
        <v>13.0</v>
      </c>
      <c r="E4" s="22">
        <v>0.0</v>
      </c>
      <c r="F4" s="22">
        <v>0.0</v>
      </c>
      <c r="G4" s="22">
        <v>0.0</v>
      </c>
      <c r="H4" s="22">
        <v>4.0</v>
      </c>
      <c r="I4" s="22">
        <v>0.0</v>
      </c>
      <c r="J4" s="25">
        <f t="shared" ref="J4:J65" si="1">sum(C4:I4)</f>
        <v>17</v>
      </c>
      <c r="K4" s="23">
        <v>16.0</v>
      </c>
      <c r="L4" s="23">
        <v>1.0</v>
      </c>
      <c r="M4" s="25">
        <f t="shared" ref="M4:M65" si="2">sum(K4:L4)</f>
        <v>17</v>
      </c>
      <c r="N4" s="23">
        <v>4.0</v>
      </c>
      <c r="O4" s="23">
        <v>4.0</v>
      </c>
      <c r="P4" s="23">
        <v>2.0</v>
      </c>
      <c r="Q4" s="23">
        <v>0.0</v>
      </c>
      <c r="R4" s="23">
        <v>7.0</v>
      </c>
      <c r="S4" s="26">
        <f t="shared" ref="S4:S65" si="3">sum(N4:R4)</f>
        <v>17</v>
      </c>
      <c r="T4" s="23">
        <v>13.0</v>
      </c>
      <c r="U4" s="23">
        <v>0.0</v>
      </c>
      <c r="V4" s="23">
        <v>3.0</v>
      </c>
      <c r="W4" s="23">
        <v>1.0</v>
      </c>
      <c r="X4" s="26">
        <f t="shared" ref="X4:X65" si="4">sum(T4:W4)</f>
        <v>17</v>
      </c>
    </row>
    <row r="5">
      <c r="A5" s="20" t="s">
        <v>26</v>
      </c>
      <c r="B5" s="21">
        <v>1.0</v>
      </c>
      <c r="C5" s="22">
        <v>0.0</v>
      </c>
      <c r="D5" s="22">
        <v>1.0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5">
        <f t="shared" si="1"/>
        <v>1</v>
      </c>
      <c r="K5" s="23">
        <v>1.0</v>
      </c>
      <c r="L5" s="23">
        <v>0.0</v>
      </c>
      <c r="M5" s="25">
        <f t="shared" si="2"/>
        <v>1</v>
      </c>
      <c r="N5" s="23">
        <v>0.0</v>
      </c>
      <c r="O5" s="23">
        <v>0.0</v>
      </c>
      <c r="P5" s="23">
        <v>0.0</v>
      </c>
      <c r="Q5" s="23">
        <v>1.0</v>
      </c>
      <c r="R5" s="23">
        <v>0.0</v>
      </c>
      <c r="S5" s="26">
        <f t="shared" si="3"/>
        <v>1</v>
      </c>
      <c r="T5" s="23">
        <v>1.0</v>
      </c>
      <c r="U5" s="23">
        <v>0.0</v>
      </c>
      <c r="V5" s="23">
        <v>0.0</v>
      </c>
      <c r="W5" s="23">
        <v>0.0</v>
      </c>
      <c r="X5" s="26">
        <f t="shared" si="4"/>
        <v>1</v>
      </c>
    </row>
    <row r="6">
      <c r="A6" s="20" t="s">
        <v>27</v>
      </c>
      <c r="B6" s="21">
        <v>2.0</v>
      </c>
      <c r="C6" s="22">
        <v>0.0</v>
      </c>
      <c r="D6" s="22">
        <v>1.0</v>
      </c>
      <c r="E6" s="22">
        <v>0.0</v>
      </c>
      <c r="F6" s="22">
        <v>0.0</v>
      </c>
      <c r="G6" s="22">
        <v>0.0</v>
      </c>
      <c r="H6" s="22">
        <v>1.0</v>
      </c>
      <c r="I6" s="22">
        <v>0.0</v>
      </c>
      <c r="J6" s="25">
        <f t="shared" si="1"/>
        <v>2</v>
      </c>
      <c r="K6" s="23">
        <v>2.0</v>
      </c>
      <c r="L6" s="23">
        <v>0.0</v>
      </c>
      <c r="M6" s="25">
        <f t="shared" si="2"/>
        <v>2</v>
      </c>
      <c r="N6" s="23">
        <v>0.0</v>
      </c>
      <c r="O6" s="23">
        <v>0.0</v>
      </c>
      <c r="P6" s="23">
        <v>1.0</v>
      </c>
      <c r="Q6" s="23">
        <v>1.0</v>
      </c>
      <c r="R6" s="23">
        <v>0.0</v>
      </c>
      <c r="S6" s="26">
        <f t="shared" si="3"/>
        <v>2</v>
      </c>
      <c r="T6" s="23">
        <v>1.0</v>
      </c>
      <c r="U6" s="23">
        <v>0.0</v>
      </c>
      <c r="V6" s="23">
        <v>0.0</v>
      </c>
      <c r="W6" s="23">
        <v>1.0</v>
      </c>
      <c r="X6" s="26">
        <f t="shared" si="4"/>
        <v>2</v>
      </c>
    </row>
    <row r="7">
      <c r="A7" s="20" t="s">
        <v>28</v>
      </c>
      <c r="B7" s="21">
        <v>0.0</v>
      </c>
      <c r="C7" s="22">
        <v>0.0</v>
      </c>
      <c r="D7" s="22">
        <v>0.0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5">
        <f t="shared" si="1"/>
        <v>0</v>
      </c>
      <c r="K7" s="23">
        <v>0.0</v>
      </c>
      <c r="L7" s="23">
        <v>0.0</v>
      </c>
      <c r="M7" s="25">
        <f t="shared" si="2"/>
        <v>0</v>
      </c>
      <c r="N7" s="23">
        <v>0.0</v>
      </c>
      <c r="O7" s="23">
        <v>0.0</v>
      </c>
      <c r="P7" s="23">
        <v>0.0</v>
      </c>
      <c r="Q7" s="23">
        <v>0.0</v>
      </c>
      <c r="R7" s="23">
        <v>0.0</v>
      </c>
      <c r="S7" s="26">
        <f t="shared" si="3"/>
        <v>0</v>
      </c>
      <c r="T7" s="23">
        <v>0.0</v>
      </c>
      <c r="U7" s="23">
        <v>0.0</v>
      </c>
      <c r="V7" s="23">
        <v>0.0</v>
      </c>
      <c r="W7" s="23">
        <v>0.0</v>
      </c>
      <c r="X7" s="26">
        <f t="shared" si="4"/>
        <v>0</v>
      </c>
    </row>
    <row r="8">
      <c r="A8" s="20" t="s">
        <v>29</v>
      </c>
      <c r="B8" s="21">
        <v>0.0</v>
      </c>
      <c r="C8" s="22">
        <v>0.0</v>
      </c>
      <c r="D8" s="22">
        <v>0.0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5">
        <f t="shared" si="1"/>
        <v>0</v>
      </c>
      <c r="K8" s="23">
        <v>0.0</v>
      </c>
      <c r="L8" s="23">
        <v>0.0</v>
      </c>
      <c r="M8" s="25">
        <f t="shared" si="2"/>
        <v>0</v>
      </c>
      <c r="N8" s="23">
        <v>0.0</v>
      </c>
      <c r="O8" s="23">
        <v>0.0</v>
      </c>
      <c r="P8" s="23">
        <v>0.0</v>
      </c>
      <c r="Q8" s="23">
        <v>0.0</v>
      </c>
      <c r="R8" s="23">
        <v>0.0</v>
      </c>
      <c r="S8" s="26">
        <f t="shared" si="3"/>
        <v>0</v>
      </c>
      <c r="T8" s="23">
        <v>0.0</v>
      </c>
      <c r="U8" s="23">
        <v>0.0</v>
      </c>
      <c r="V8" s="23">
        <v>0.0</v>
      </c>
      <c r="W8" s="23">
        <v>0.0</v>
      </c>
      <c r="X8" s="26">
        <f t="shared" si="4"/>
        <v>0</v>
      </c>
    </row>
    <row r="9">
      <c r="A9" s="20" t="s">
        <v>30</v>
      </c>
      <c r="B9" s="21">
        <v>0.0</v>
      </c>
      <c r="C9" s="22">
        <v>0.0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5">
        <f t="shared" si="1"/>
        <v>0</v>
      </c>
      <c r="K9" s="23">
        <v>0.0</v>
      </c>
      <c r="L9" s="23">
        <v>0.0</v>
      </c>
      <c r="M9" s="25">
        <f t="shared" si="2"/>
        <v>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6">
        <f t="shared" si="3"/>
        <v>0</v>
      </c>
      <c r="T9" s="23">
        <v>0.0</v>
      </c>
      <c r="U9" s="23">
        <v>0.0</v>
      </c>
      <c r="V9" s="23">
        <v>0.0</v>
      </c>
      <c r="W9" s="23">
        <v>0.0</v>
      </c>
      <c r="X9" s="26">
        <f t="shared" si="4"/>
        <v>0</v>
      </c>
    </row>
    <row r="10">
      <c r="A10" s="20" t="s">
        <v>31</v>
      </c>
      <c r="B10" s="21">
        <v>0.0</v>
      </c>
      <c r="C10" s="22">
        <v>0.0</v>
      </c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5">
        <f t="shared" si="1"/>
        <v>0</v>
      </c>
      <c r="K10" s="23">
        <v>0.0</v>
      </c>
      <c r="L10" s="23">
        <v>0.0</v>
      </c>
      <c r="M10" s="25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6">
        <f t="shared" si="3"/>
        <v>0</v>
      </c>
      <c r="T10" s="23">
        <v>0.0</v>
      </c>
      <c r="U10" s="23">
        <v>0.0</v>
      </c>
      <c r="V10" s="23">
        <v>0.0</v>
      </c>
      <c r="W10" s="23">
        <v>0.0</v>
      </c>
      <c r="X10" s="26">
        <f t="shared" si="4"/>
        <v>0</v>
      </c>
    </row>
    <row r="11">
      <c r="A11" s="20" t="s">
        <v>32</v>
      </c>
      <c r="B11" s="21">
        <v>0.0</v>
      </c>
      <c r="C11" s="22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5">
        <f t="shared" si="1"/>
        <v>0</v>
      </c>
      <c r="K11" s="23">
        <v>0.0</v>
      </c>
      <c r="L11" s="23">
        <v>0.0</v>
      </c>
      <c r="M11" s="25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6">
        <f t="shared" si="3"/>
        <v>0</v>
      </c>
      <c r="T11" s="23">
        <v>0.0</v>
      </c>
      <c r="U11" s="23">
        <v>0.0</v>
      </c>
      <c r="V11" s="23">
        <v>0.0</v>
      </c>
      <c r="W11" s="23">
        <v>0.0</v>
      </c>
      <c r="X11" s="26">
        <f t="shared" si="4"/>
        <v>0</v>
      </c>
    </row>
    <row r="12">
      <c r="A12" s="20" t="s">
        <v>33</v>
      </c>
      <c r="B12" s="21">
        <v>2.0</v>
      </c>
      <c r="C12" s="22">
        <v>0.0</v>
      </c>
      <c r="D12" s="22">
        <v>1.0</v>
      </c>
      <c r="E12" s="22">
        <v>0.0</v>
      </c>
      <c r="F12" s="22">
        <v>0.0</v>
      </c>
      <c r="G12" s="22">
        <v>0.0</v>
      </c>
      <c r="H12" s="22">
        <v>1.0</v>
      </c>
      <c r="I12" s="22">
        <v>0.0</v>
      </c>
      <c r="J12" s="25">
        <f t="shared" si="1"/>
        <v>2</v>
      </c>
      <c r="K12" s="23">
        <v>2.0</v>
      </c>
      <c r="L12" s="23">
        <v>0.0</v>
      </c>
      <c r="M12" s="25">
        <f t="shared" si="2"/>
        <v>2</v>
      </c>
      <c r="N12" s="23">
        <v>1.0</v>
      </c>
      <c r="O12" s="23">
        <v>0.0</v>
      </c>
      <c r="P12" s="23">
        <v>1.0</v>
      </c>
      <c r="Q12" s="23">
        <v>0.0</v>
      </c>
      <c r="R12" s="23">
        <v>0.0</v>
      </c>
      <c r="S12" s="26">
        <f t="shared" si="3"/>
        <v>2</v>
      </c>
      <c r="T12" s="23">
        <v>2.0</v>
      </c>
      <c r="U12" s="23">
        <v>0.0</v>
      </c>
      <c r="V12" s="23">
        <v>0.0</v>
      </c>
      <c r="W12" s="23">
        <v>0.0</v>
      </c>
      <c r="X12" s="26">
        <f t="shared" si="4"/>
        <v>2</v>
      </c>
    </row>
    <row r="13">
      <c r="A13" s="20" t="s">
        <v>34</v>
      </c>
      <c r="B13" s="21">
        <v>7.0</v>
      </c>
      <c r="C13" s="22">
        <v>0.0</v>
      </c>
      <c r="D13" s="22">
        <v>5.0</v>
      </c>
      <c r="E13" s="22">
        <v>0.0</v>
      </c>
      <c r="F13" s="22">
        <v>2.0</v>
      </c>
      <c r="G13" s="22">
        <v>0.0</v>
      </c>
      <c r="H13" s="22">
        <v>0.0</v>
      </c>
      <c r="I13" s="22">
        <v>0.0</v>
      </c>
      <c r="J13" s="25">
        <f t="shared" si="1"/>
        <v>7</v>
      </c>
      <c r="K13" s="23">
        <v>7.0</v>
      </c>
      <c r="L13" s="23">
        <v>0.0</v>
      </c>
      <c r="M13" s="25">
        <f t="shared" si="2"/>
        <v>7</v>
      </c>
      <c r="N13" s="23">
        <v>0.0</v>
      </c>
      <c r="O13" s="23">
        <v>2.0</v>
      </c>
      <c r="P13" s="23">
        <v>4.0</v>
      </c>
      <c r="Q13" s="23">
        <v>1.0</v>
      </c>
      <c r="R13" s="23">
        <v>0.0</v>
      </c>
      <c r="S13" s="26">
        <f t="shared" si="3"/>
        <v>7</v>
      </c>
      <c r="T13" s="23">
        <v>6.0</v>
      </c>
      <c r="U13" s="23">
        <v>0.0</v>
      </c>
      <c r="V13" s="23">
        <v>1.0</v>
      </c>
      <c r="W13" s="23">
        <v>0.0</v>
      </c>
      <c r="X13" s="26">
        <f t="shared" si="4"/>
        <v>7</v>
      </c>
    </row>
    <row r="14">
      <c r="A14" s="20" t="s">
        <v>35</v>
      </c>
      <c r="B14" s="21">
        <v>1.0</v>
      </c>
      <c r="C14" s="22">
        <v>0.0</v>
      </c>
      <c r="D14" s="22">
        <v>1.0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5">
        <f t="shared" si="1"/>
        <v>1</v>
      </c>
      <c r="K14" s="23">
        <v>1.0</v>
      </c>
      <c r="L14" s="23">
        <v>0.0</v>
      </c>
      <c r="M14" s="25">
        <f t="shared" si="2"/>
        <v>1</v>
      </c>
      <c r="N14" s="23">
        <v>0.0</v>
      </c>
      <c r="O14" s="23">
        <v>0.0</v>
      </c>
      <c r="P14" s="23">
        <v>1.0</v>
      </c>
      <c r="Q14" s="23">
        <v>0.0</v>
      </c>
      <c r="R14" s="23">
        <v>0.0</v>
      </c>
      <c r="S14" s="26">
        <f t="shared" si="3"/>
        <v>1</v>
      </c>
      <c r="T14" s="23">
        <v>0.0</v>
      </c>
      <c r="U14" s="23">
        <v>0.0</v>
      </c>
      <c r="V14" s="23">
        <v>1.0</v>
      </c>
      <c r="W14" s="23">
        <v>0.0</v>
      </c>
      <c r="X14" s="26">
        <f t="shared" si="4"/>
        <v>1</v>
      </c>
    </row>
    <row r="15">
      <c r="A15" s="20" t="s">
        <v>36</v>
      </c>
      <c r="B15" s="21">
        <v>0.0</v>
      </c>
      <c r="C15" s="22">
        <v>0.0</v>
      </c>
      <c r="D15" s="22">
        <v>0.0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5">
        <f t="shared" si="1"/>
        <v>0</v>
      </c>
      <c r="K15" s="23">
        <v>0.0</v>
      </c>
      <c r="L15" s="23">
        <v>0.0</v>
      </c>
      <c r="M15" s="25">
        <f t="shared" si="2"/>
        <v>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6">
        <f t="shared" si="3"/>
        <v>0</v>
      </c>
      <c r="T15" s="23">
        <v>0.0</v>
      </c>
      <c r="U15" s="23">
        <v>0.0</v>
      </c>
      <c r="V15" s="23">
        <v>0.0</v>
      </c>
      <c r="W15" s="23">
        <v>0.0</v>
      </c>
      <c r="X15" s="26">
        <f t="shared" si="4"/>
        <v>0</v>
      </c>
    </row>
    <row r="16">
      <c r="A16" s="20" t="s">
        <v>37</v>
      </c>
      <c r="B16" s="21">
        <v>0.0</v>
      </c>
      <c r="C16" s="22">
        <v>0.0</v>
      </c>
      <c r="D16" s="22">
        <v>0.0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5">
        <f t="shared" si="1"/>
        <v>0</v>
      </c>
      <c r="K16" s="23">
        <v>0.0</v>
      </c>
      <c r="L16" s="23">
        <v>0.0</v>
      </c>
      <c r="M16" s="25">
        <f t="shared" si="2"/>
        <v>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6">
        <f t="shared" si="3"/>
        <v>0</v>
      </c>
      <c r="T16" s="23">
        <v>0.0</v>
      </c>
      <c r="U16" s="23">
        <v>0.0</v>
      </c>
      <c r="V16" s="23">
        <v>0.0</v>
      </c>
      <c r="W16" s="23">
        <v>0.0</v>
      </c>
      <c r="X16" s="26">
        <f t="shared" si="4"/>
        <v>0</v>
      </c>
    </row>
    <row r="17">
      <c r="A17" s="20" t="s">
        <v>38</v>
      </c>
      <c r="B17" s="21">
        <v>0.0</v>
      </c>
      <c r="C17" s="22">
        <v>0.0</v>
      </c>
      <c r="D17" s="22">
        <v>0.0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5">
        <f t="shared" si="1"/>
        <v>0</v>
      </c>
      <c r="K17" s="23">
        <v>0.0</v>
      </c>
      <c r="L17" s="23">
        <v>0.0</v>
      </c>
      <c r="M17" s="25">
        <f t="shared" si="2"/>
        <v>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6">
        <f t="shared" si="3"/>
        <v>0</v>
      </c>
      <c r="T17" s="23">
        <v>0.0</v>
      </c>
      <c r="U17" s="23">
        <v>0.0</v>
      </c>
      <c r="V17" s="23">
        <v>0.0</v>
      </c>
      <c r="W17" s="23">
        <v>0.0</v>
      </c>
      <c r="X17" s="26">
        <f t="shared" si="4"/>
        <v>0</v>
      </c>
    </row>
    <row r="18">
      <c r="A18" s="20" t="s">
        <v>39</v>
      </c>
      <c r="B18" s="21">
        <v>29.0</v>
      </c>
      <c r="C18" s="22">
        <v>1.0</v>
      </c>
      <c r="D18" s="22">
        <v>26.0</v>
      </c>
      <c r="E18" s="22">
        <v>0.0</v>
      </c>
      <c r="F18" s="22">
        <v>0.0</v>
      </c>
      <c r="G18" s="22">
        <v>0.0</v>
      </c>
      <c r="H18" s="22">
        <v>2.0</v>
      </c>
      <c r="I18" s="22">
        <v>0.0</v>
      </c>
      <c r="J18" s="25">
        <f t="shared" si="1"/>
        <v>29</v>
      </c>
      <c r="K18" s="23">
        <v>28.0</v>
      </c>
      <c r="L18" s="23">
        <v>1.0</v>
      </c>
      <c r="M18" s="25">
        <f t="shared" si="2"/>
        <v>29</v>
      </c>
      <c r="N18" s="23">
        <v>5.0</v>
      </c>
      <c r="O18" s="23">
        <v>3.0</v>
      </c>
      <c r="P18" s="23">
        <v>4.0</v>
      </c>
      <c r="Q18" s="23">
        <v>1.0</v>
      </c>
      <c r="R18" s="23">
        <v>16.0</v>
      </c>
      <c r="S18" s="26">
        <f t="shared" si="3"/>
        <v>29</v>
      </c>
      <c r="T18" s="23">
        <v>22.0</v>
      </c>
      <c r="U18" s="23">
        <v>0.0</v>
      </c>
      <c r="V18" s="23">
        <v>3.0</v>
      </c>
      <c r="W18" s="23">
        <v>4.0</v>
      </c>
      <c r="X18" s="26">
        <f t="shared" si="4"/>
        <v>29</v>
      </c>
    </row>
    <row r="19">
      <c r="A19" s="20" t="s">
        <v>40</v>
      </c>
      <c r="B19" s="21">
        <v>0.0</v>
      </c>
      <c r="C19" s="22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5">
        <f t="shared" si="1"/>
        <v>0</v>
      </c>
      <c r="K19" s="23">
        <v>0.0</v>
      </c>
      <c r="L19" s="23">
        <v>0.0</v>
      </c>
      <c r="M19" s="25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6">
        <f t="shared" si="3"/>
        <v>0</v>
      </c>
      <c r="T19" s="23">
        <v>0.0</v>
      </c>
      <c r="U19" s="23">
        <v>0.0</v>
      </c>
      <c r="V19" s="23">
        <v>0.0</v>
      </c>
      <c r="W19" s="23">
        <v>0.0</v>
      </c>
      <c r="X19" s="26">
        <f t="shared" si="4"/>
        <v>0</v>
      </c>
    </row>
    <row r="20">
      <c r="A20" s="20" t="s">
        <v>41</v>
      </c>
      <c r="B20" s="21">
        <v>0.0</v>
      </c>
      <c r="C20" s="22">
        <v>0.0</v>
      </c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5">
        <f t="shared" si="1"/>
        <v>0</v>
      </c>
      <c r="K20" s="23">
        <v>0.0</v>
      </c>
      <c r="L20" s="23">
        <v>0.0</v>
      </c>
      <c r="M20" s="25">
        <f t="shared" si="2"/>
        <v>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6">
        <f t="shared" si="3"/>
        <v>0</v>
      </c>
      <c r="T20" s="23">
        <v>0.0</v>
      </c>
      <c r="U20" s="23">
        <v>0.0</v>
      </c>
      <c r="V20" s="23">
        <v>0.0</v>
      </c>
      <c r="W20" s="23">
        <v>0.0</v>
      </c>
      <c r="X20" s="26">
        <f t="shared" si="4"/>
        <v>0</v>
      </c>
    </row>
    <row r="21">
      <c r="A21" s="20" t="s">
        <v>42</v>
      </c>
      <c r="B21" s="21">
        <v>1.0</v>
      </c>
      <c r="C21" s="22">
        <v>0.0</v>
      </c>
      <c r="D21" s="22">
        <v>0.0</v>
      </c>
      <c r="E21" s="22">
        <v>0.0</v>
      </c>
      <c r="F21" s="22">
        <v>0.0</v>
      </c>
      <c r="G21" s="22">
        <v>0.0</v>
      </c>
      <c r="H21" s="22">
        <v>1.0</v>
      </c>
      <c r="I21" s="22">
        <v>0.0</v>
      </c>
      <c r="J21" s="25">
        <f t="shared" si="1"/>
        <v>1</v>
      </c>
      <c r="K21" s="23">
        <v>1.0</v>
      </c>
      <c r="L21" s="23">
        <v>0.0</v>
      </c>
      <c r="M21" s="25">
        <f t="shared" si="2"/>
        <v>1</v>
      </c>
      <c r="N21" s="23">
        <v>1.0</v>
      </c>
      <c r="O21" s="23">
        <v>0.0</v>
      </c>
      <c r="P21" s="23">
        <v>0.0</v>
      </c>
      <c r="Q21" s="23">
        <v>0.0</v>
      </c>
      <c r="R21" s="23">
        <v>0.0</v>
      </c>
      <c r="S21" s="26">
        <f t="shared" si="3"/>
        <v>1</v>
      </c>
      <c r="T21" s="23">
        <v>1.0</v>
      </c>
      <c r="U21" s="23">
        <v>0.0</v>
      </c>
      <c r="V21" s="23">
        <v>0.0</v>
      </c>
      <c r="W21" s="23">
        <v>0.0</v>
      </c>
      <c r="X21" s="26">
        <f t="shared" si="4"/>
        <v>1</v>
      </c>
    </row>
    <row r="22">
      <c r="A22" s="20" t="s">
        <v>43</v>
      </c>
      <c r="B22" s="21">
        <v>17.0</v>
      </c>
      <c r="C22" s="22">
        <v>0.0</v>
      </c>
      <c r="D22" s="22">
        <v>14.0</v>
      </c>
      <c r="E22" s="22">
        <v>0.0</v>
      </c>
      <c r="F22" s="22">
        <v>0.0</v>
      </c>
      <c r="G22" s="22">
        <v>0.0</v>
      </c>
      <c r="H22" s="22">
        <v>3.0</v>
      </c>
      <c r="I22" s="22">
        <v>0.0</v>
      </c>
      <c r="J22" s="25">
        <f t="shared" si="1"/>
        <v>17</v>
      </c>
      <c r="K22" s="23">
        <v>17.0</v>
      </c>
      <c r="L22" s="23">
        <v>0.0</v>
      </c>
      <c r="M22" s="25">
        <f t="shared" si="2"/>
        <v>17</v>
      </c>
      <c r="N22" s="23">
        <v>6.0</v>
      </c>
      <c r="O22" s="23">
        <v>9.0</v>
      </c>
      <c r="P22" s="23">
        <v>0.0</v>
      </c>
      <c r="Q22" s="23">
        <v>1.0</v>
      </c>
      <c r="R22" s="23">
        <v>1.0</v>
      </c>
      <c r="S22" s="26">
        <f t="shared" si="3"/>
        <v>17</v>
      </c>
      <c r="T22" s="23">
        <v>17.0</v>
      </c>
      <c r="U22" s="23">
        <v>0.0</v>
      </c>
      <c r="V22" s="23">
        <v>0.0</v>
      </c>
      <c r="W22" s="23">
        <v>0.0</v>
      </c>
      <c r="X22" s="26">
        <f t="shared" si="4"/>
        <v>17</v>
      </c>
    </row>
    <row r="23">
      <c r="A23" s="20" t="s">
        <v>44</v>
      </c>
      <c r="B23" s="21">
        <v>5.0</v>
      </c>
      <c r="C23" s="22">
        <v>1.0</v>
      </c>
      <c r="D23" s="22">
        <v>3.0</v>
      </c>
      <c r="E23" s="22">
        <v>0.0</v>
      </c>
      <c r="F23" s="22">
        <v>0.0</v>
      </c>
      <c r="G23" s="22">
        <v>0.0</v>
      </c>
      <c r="H23" s="22">
        <v>1.0</v>
      </c>
      <c r="I23" s="22">
        <v>0.0</v>
      </c>
      <c r="J23" s="25">
        <f t="shared" si="1"/>
        <v>5</v>
      </c>
      <c r="K23" s="23">
        <v>5.0</v>
      </c>
      <c r="L23" s="23">
        <v>0.0</v>
      </c>
      <c r="M23" s="25">
        <f t="shared" si="2"/>
        <v>5</v>
      </c>
      <c r="N23" s="23">
        <v>2.0</v>
      </c>
      <c r="O23" s="23">
        <v>1.0</v>
      </c>
      <c r="P23" s="23">
        <v>1.0</v>
      </c>
      <c r="Q23" s="23">
        <v>0.0</v>
      </c>
      <c r="R23" s="23">
        <v>1.0</v>
      </c>
      <c r="S23" s="26">
        <f t="shared" si="3"/>
        <v>5</v>
      </c>
      <c r="T23" s="23">
        <v>5.0</v>
      </c>
      <c r="U23" s="23">
        <v>0.0</v>
      </c>
      <c r="V23" s="23">
        <v>0.0</v>
      </c>
      <c r="W23" s="23">
        <v>0.0</v>
      </c>
      <c r="X23" s="26">
        <f t="shared" si="4"/>
        <v>5</v>
      </c>
    </row>
    <row r="24">
      <c r="A24" s="20" t="s">
        <v>45</v>
      </c>
      <c r="B24" s="21">
        <v>0.0</v>
      </c>
      <c r="C24" s="22">
        <v>0.0</v>
      </c>
      <c r="D24" s="22">
        <v>0.0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5">
        <f t="shared" si="1"/>
        <v>0</v>
      </c>
      <c r="K24" s="23">
        <v>0.0</v>
      </c>
      <c r="L24" s="23">
        <v>0.0</v>
      </c>
      <c r="M24" s="25">
        <f t="shared" si="2"/>
        <v>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6">
        <f t="shared" si="3"/>
        <v>0</v>
      </c>
      <c r="T24" s="23">
        <v>0.0</v>
      </c>
      <c r="U24" s="23">
        <v>0.0</v>
      </c>
      <c r="V24" s="23">
        <v>0.0</v>
      </c>
      <c r="W24" s="23">
        <v>0.0</v>
      </c>
      <c r="X24" s="26">
        <f t="shared" si="4"/>
        <v>0</v>
      </c>
    </row>
    <row r="25">
      <c r="A25" s="20" t="s">
        <v>46</v>
      </c>
      <c r="B25" s="21">
        <v>3.0</v>
      </c>
      <c r="C25" s="22">
        <v>0.0</v>
      </c>
      <c r="D25" s="22">
        <v>1.0</v>
      </c>
      <c r="E25" s="22">
        <v>0.0</v>
      </c>
      <c r="F25" s="22">
        <v>0.0</v>
      </c>
      <c r="G25" s="22">
        <v>0.0</v>
      </c>
      <c r="H25" s="22">
        <v>2.0</v>
      </c>
      <c r="I25" s="22">
        <v>0.0</v>
      </c>
      <c r="J25" s="25">
        <f t="shared" si="1"/>
        <v>3</v>
      </c>
      <c r="K25" s="23">
        <v>3.0</v>
      </c>
      <c r="L25" s="23">
        <v>0.0</v>
      </c>
      <c r="M25" s="25">
        <f t="shared" si="2"/>
        <v>3</v>
      </c>
      <c r="N25" s="23">
        <v>0.0</v>
      </c>
      <c r="O25" s="23">
        <v>3.0</v>
      </c>
      <c r="P25" s="23">
        <v>0.0</v>
      </c>
      <c r="Q25" s="23">
        <v>0.0</v>
      </c>
      <c r="R25" s="23">
        <v>0.0</v>
      </c>
      <c r="S25" s="26">
        <f t="shared" si="3"/>
        <v>3</v>
      </c>
      <c r="T25" s="23">
        <v>3.0</v>
      </c>
      <c r="U25" s="23">
        <v>0.0</v>
      </c>
      <c r="V25" s="23">
        <v>0.0</v>
      </c>
      <c r="W25" s="23">
        <v>0.0</v>
      </c>
      <c r="X25" s="26">
        <f t="shared" si="4"/>
        <v>3</v>
      </c>
    </row>
    <row r="26">
      <c r="A26" s="20" t="s">
        <v>47</v>
      </c>
      <c r="B26" s="21">
        <v>0.0</v>
      </c>
      <c r="C26" s="22">
        <v>0.0</v>
      </c>
      <c r="D26" s="22">
        <v>0.0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5">
        <f t="shared" si="1"/>
        <v>0</v>
      </c>
      <c r="K26" s="23">
        <v>0.0</v>
      </c>
      <c r="L26" s="23">
        <v>0.0</v>
      </c>
      <c r="M26" s="25">
        <f t="shared" si="2"/>
        <v>0</v>
      </c>
      <c r="N26" s="23">
        <v>0.0</v>
      </c>
      <c r="O26" s="23">
        <v>0.0</v>
      </c>
      <c r="P26" s="23">
        <v>0.0</v>
      </c>
      <c r="Q26" s="23">
        <v>0.0</v>
      </c>
      <c r="R26" s="23">
        <v>0.0</v>
      </c>
      <c r="S26" s="26">
        <f t="shared" si="3"/>
        <v>0</v>
      </c>
      <c r="T26" s="23">
        <v>0.0</v>
      </c>
      <c r="U26" s="23">
        <v>0.0</v>
      </c>
      <c r="V26" s="23">
        <v>0.0</v>
      </c>
      <c r="W26" s="23">
        <v>0.0</v>
      </c>
      <c r="X26" s="26">
        <f t="shared" si="4"/>
        <v>0</v>
      </c>
    </row>
    <row r="27">
      <c r="A27" s="20" t="s">
        <v>48</v>
      </c>
      <c r="B27" s="21">
        <v>0.0</v>
      </c>
      <c r="C27" s="22">
        <v>0.0</v>
      </c>
      <c r="D27" s="22">
        <v>0.0</v>
      </c>
      <c r="E27" s="22">
        <v>0.0</v>
      </c>
      <c r="F27" s="22">
        <v>0.0</v>
      </c>
      <c r="G27" s="22">
        <v>0.0</v>
      </c>
      <c r="H27" s="22">
        <v>0.0</v>
      </c>
      <c r="I27" s="22">
        <v>0.0</v>
      </c>
      <c r="J27" s="25">
        <f t="shared" si="1"/>
        <v>0</v>
      </c>
      <c r="K27" s="23">
        <v>0.0</v>
      </c>
      <c r="L27" s="23">
        <v>0.0</v>
      </c>
      <c r="M27" s="25">
        <f t="shared" si="2"/>
        <v>0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6">
        <f t="shared" si="3"/>
        <v>0</v>
      </c>
      <c r="T27" s="23">
        <v>0.0</v>
      </c>
      <c r="U27" s="23">
        <v>0.0</v>
      </c>
      <c r="V27" s="23">
        <v>0.0</v>
      </c>
      <c r="W27" s="23">
        <v>0.0</v>
      </c>
      <c r="X27" s="26">
        <f t="shared" si="4"/>
        <v>0</v>
      </c>
    </row>
    <row r="28">
      <c r="A28" s="20" t="s">
        <v>49</v>
      </c>
      <c r="B28" s="21">
        <v>0.0</v>
      </c>
      <c r="C28" s="22">
        <v>0.0</v>
      </c>
      <c r="D28" s="22">
        <v>0.0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5">
        <f t="shared" si="1"/>
        <v>0</v>
      </c>
      <c r="K28" s="23">
        <v>0.0</v>
      </c>
      <c r="L28" s="23">
        <v>0.0</v>
      </c>
      <c r="M28" s="25">
        <f t="shared" si="2"/>
        <v>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6">
        <f t="shared" si="3"/>
        <v>0</v>
      </c>
      <c r="T28" s="23">
        <v>0.0</v>
      </c>
      <c r="U28" s="23">
        <v>0.0</v>
      </c>
      <c r="V28" s="23">
        <v>0.0</v>
      </c>
      <c r="W28" s="23">
        <v>0.0</v>
      </c>
      <c r="X28" s="26">
        <f t="shared" si="4"/>
        <v>0</v>
      </c>
    </row>
    <row r="29">
      <c r="A29" s="20" t="s">
        <v>50</v>
      </c>
      <c r="B29" s="21">
        <v>1.0</v>
      </c>
      <c r="C29" s="22">
        <v>0.0</v>
      </c>
      <c r="D29" s="22">
        <v>1.0</v>
      </c>
      <c r="E29" s="22">
        <v>0.0</v>
      </c>
      <c r="F29" s="22">
        <v>0.0</v>
      </c>
      <c r="G29" s="22">
        <v>0.0</v>
      </c>
      <c r="H29" s="22">
        <v>0.0</v>
      </c>
      <c r="I29" s="22">
        <v>0.0</v>
      </c>
      <c r="J29" s="25">
        <f t="shared" si="1"/>
        <v>1</v>
      </c>
      <c r="K29" s="23">
        <v>1.0</v>
      </c>
      <c r="L29" s="23">
        <v>0.0</v>
      </c>
      <c r="M29" s="25">
        <f t="shared" si="2"/>
        <v>1</v>
      </c>
      <c r="N29" s="23">
        <v>0.0</v>
      </c>
      <c r="O29" s="23">
        <v>1.0</v>
      </c>
      <c r="P29" s="23">
        <v>0.0</v>
      </c>
      <c r="Q29" s="23">
        <v>0.0</v>
      </c>
      <c r="R29" s="23">
        <v>0.0</v>
      </c>
      <c r="S29" s="26">
        <f t="shared" si="3"/>
        <v>1</v>
      </c>
      <c r="T29" s="23">
        <v>1.0</v>
      </c>
      <c r="U29" s="23">
        <v>0.0</v>
      </c>
      <c r="V29" s="23">
        <v>0.0</v>
      </c>
      <c r="W29" s="23">
        <v>0.0</v>
      </c>
      <c r="X29" s="26">
        <f t="shared" si="4"/>
        <v>1</v>
      </c>
    </row>
    <row r="30">
      <c r="A30" s="20" t="s">
        <v>51</v>
      </c>
      <c r="B30" s="21">
        <v>0.0</v>
      </c>
      <c r="C30" s="22">
        <v>0.0</v>
      </c>
      <c r="D30" s="22">
        <v>0.0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5">
        <f t="shared" si="1"/>
        <v>0</v>
      </c>
      <c r="K30" s="23">
        <v>0.0</v>
      </c>
      <c r="L30" s="23">
        <v>0.0</v>
      </c>
      <c r="M30" s="25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6">
        <f t="shared" si="3"/>
        <v>0</v>
      </c>
      <c r="T30" s="23">
        <v>0.0</v>
      </c>
      <c r="U30" s="23">
        <v>0.0</v>
      </c>
      <c r="V30" s="23">
        <v>0.0</v>
      </c>
      <c r="W30" s="23">
        <v>0.0</v>
      </c>
      <c r="X30" s="26">
        <f t="shared" si="4"/>
        <v>0</v>
      </c>
    </row>
    <row r="31">
      <c r="A31" s="20" t="s">
        <v>52</v>
      </c>
      <c r="B31" s="21">
        <v>11.0</v>
      </c>
      <c r="C31" s="22">
        <v>0.0</v>
      </c>
      <c r="D31" s="22">
        <v>11.0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5">
        <f t="shared" si="1"/>
        <v>11</v>
      </c>
      <c r="K31" s="23">
        <v>11.0</v>
      </c>
      <c r="L31" s="23">
        <v>0.0</v>
      </c>
      <c r="M31" s="25">
        <f t="shared" si="2"/>
        <v>11</v>
      </c>
      <c r="N31" s="23">
        <v>0.0</v>
      </c>
      <c r="O31" s="23">
        <v>1.0</v>
      </c>
      <c r="P31" s="23">
        <v>10.0</v>
      </c>
      <c r="Q31" s="23">
        <v>0.0</v>
      </c>
      <c r="R31" s="23">
        <v>0.0</v>
      </c>
      <c r="S31" s="26">
        <f t="shared" si="3"/>
        <v>11</v>
      </c>
      <c r="T31" s="23">
        <v>8.0</v>
      </c>
      <c r="U31" s="23">
        <v>0.0</v>
      </c>
      <c r="V31" s="23">
        <v>3.0</v>
      </c>
      <c r="W31" s="23">
        <v>0.0</v>
      </c>
      <c r="X31" s="26">
        <f t="shared" si="4"/>
        <v>11</v>
      </c>
    </row>
    <row r="32">
      <c r="A32" s="20" t="s">
        <v>53</v>
      </c>
      <c r="B32" s="21">
        <v>3.0</v>
      </c>
      <c r="C32" s="22">
        <v>1.0</v>
      </c>
      <c r="D32" s="22">
        <v>2.0</v>
      </c>
      <c r="E32" s="22">
        <v>0.0</v>
      </c>
      <c r="F32" s="22">
        <v>0.0</v>
      </c>
      <c r="G32" s="22">
        <v>0.0</v>
      </c>
      <c r="H32" s="22">
        <v>0.0</v>
      </c>
      <c r="I32" s="22">
        <v>0.0</v>
      </c>
      <c r="J32" s="25">
        <f t="shared" si="1"/>
        <v>3</v>
      </c>
      <c r="K32" s="23">
        <v>3.0</v>
      </c>
      <c r="L32" s="23">
        <v>0.0</v>
      </c>
      <c r="M32" s="25">
        <f t="shared" si="2"/>
        <v>3</v>
      </c>
      <c r="N32" s="23">
        <v>0.0</v>
      </c>
      <c r="O32" s="23">
        <v>2.0</v>
      </c>
      <c r="P32" s="23">
        <v>1.0</v>
      </c>
      <c r="Q32" s="23">
        <v>0.0</v>
      </c>
      <c r="R32" s="23">
        <v>0.0</v>
      </c>
      <c r="S32" s="26">
        <f t="shared" si="3"/>
        <v>3</v>
      </c>
      <c r="T32" s="23">
        <v>2.0</v>
      </c>
      <c r="U32" s="23">
        <v>0.0</v>
      </c>
      <c r="V32" s="23">
        <v>1.0</v>
      </c>
      <c r="W32" s="23">
        <v>0.0</v>
      </c>
      <c r="X32" s="26">
        <f t="shared" si="4"/>
        <v>3</v>
      </c>
    </row>
    <row r="33">
      <c r="A33" s="20" t="s">
        <v>54</v>
      </c>
      <c r="B33" s="21">
        <v>5.0</v>
      </c>
      <c r="C33" s="22">
        <v>0.0</v>
      </c>
      <c r="D33" s="22">
        <v>5.0</v>
      </c>
      <c r="E33" s="22">
        <v>0.0</v>
      </c>
      <c r="F33" s="22">
        <v>0.0</v>
      </c>
      <c r="G33" s="22">
        <v>0.0</v>
      </c>
      <c r="H33" s="22">
        <v>0.0</v>
      </c>
      <c r="I33" s="22">
        <v>0.0</v>
      </c>
      <c r="J33" s="25">
        <f t="shared" si="1"/>
        <v>5</v>
      </c>
      <c r="K33" s="23">
        <v>5.0</v>
      </c>
      <c r="L33" s="23">
        <v>0.0</v>
      </c>
      <c r="M33" s="25">
        <f t="shared" si="2"/>
        <v>5</v>
      </c>
      <c r="N33" s="23">
        <v>0.0</v>
      </c>
      <c r="O33" s="23">
        <v>3.0</v>
      </c>
      <c r="P33" s="23">
        <v>2.0</v>
      </c>
      <c r="Q33" s="23">
        <v>0.0</v>
      </c>
      <c r="R33" s="23">
        <v>0.0</v>
      </c>
      <c r="S33" s="26">
        <f t="shared" si="3"/>
        <v>5</v>
      </c>
      <c r="T33" s="23">
        <v>4.0</v>
      </c>
      <c r="U33" s="23">
        <v>0.0</v>
      </c>
      <c r="V33" s="23">
        <v>0.0</v>
      </c>
      <c r="W33" s="23">
        <v>1.0</v>
      </c>
      <c r="X33" s="26">
        <f t="shared" si="4"/>
        <v>5</v>
      </c>
    </row>
    <row r="34">
      <c r="A34" s="20" t="s">
        <v>55</v>
      </c>
      <c r="B34" s="21">
        <v>7.0</v>
      </c>
      <c r="C34" s="22">
        <v>0.0</v>
      </c>
      <c r="D34" s="22">
        <v>7.0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5">
        <f t="shared" si="1"/>
        <v>7</v>
      </c>
      <c r="K34" s="23">
        <v>7.0</v>
      </c>
      <c r="L34" s="23">
        <v>0.0</v>
      </c>
      <c r="M34" s="25">
        <f t="shared" si="2"/>
        <v>7</v>
      </c>
      <c r="N34" s="23">
        <v>0.0</v>
      </c>
      <c r="O34" s="23">
        <v>2.0</v>
      </c>
      <c r="P34" s="23">
        <v>5.0</v>
      </c>
      <c r="Q34" s="23">
        <v>0.0</v>
      </c>
      <c r="R34" s="23">
        <v>0.0</v>
      </c>
      <c r="S34" s="26">
        <f t="shared" si="3"/>
        <v>7</v>
      </c>
      <c r="T34" s="23">
        <v>7.0</v>
      </c>
      <c r="U34" s="23">
        <v>0.0</v>
      </c>
      <c r="V34" s="23">
        <v>0.0</v>
      </c>
      <c r="W34" s="23">
        <v>0.0</v>
      </c>
      <c r="X34" s="26">
        <f t="shared" si="4"/>
        <v>7</v>
      </c>
    </row>
    <row r="35">
      <c r="A35" s="20" t="s">
        <v>56</v>
      </c>
      <c r="B35" s="21">
        <v>0.0</v>
      </c>
      <c r="C35" s="22">
        <v>0.0</v>
      </c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5">
        <f t="shared" si="1"/>
        <v>0</v>
      </c>
      <c r="K35" s="23">
        <v>0.0</v>
      </c>
      <c r="L35" s="23">
        <v>0.0</v>
      </c>
      <c r="M35" s="25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6">
        <f t="shared" si="3"/>
        <v>0</v>
      </c>
      <c r="T35" s="23">
        <v>0.0</v>
      </c>
      <c r="U35" s="23">
        <v>0.0</v>
      </c>
      <c r="V35" s="23">
        <v>0.0</v>
      </c>
      <c r="W35" s="23">
        <v>0.0</v>
      </c>
      <c r="X35" s="26">
        <f t="shared" si="4"/>
        <v>0</v>
      </c>
    </row>
    <row r="36">
      <c r="A36" s="20" t="s">
        <v>57</v>
      </c>
      <c r="B36" s="21">
        <v>4.0</v>
      </c>
      <c r="C36" s="22">
        <v>0.0</v>
      </c>
      <c r="D36" s="22">
        <v>4.0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5">
        <f t="shared" si="1"/>
        <v>4</v>
      </c>
      <c r="K36" s="23">
        <v>4.0</v>
      </c>
      <c r="L36" s="23">
        <v>0.0</v>
      </c>
      <c r="M36" s="25">
        <f t="shared" si="2"/>
        <v>4</v>
      </c>
      <c r="N36" s="23">
        <v>0.0</v>
      </c>
      <c r="O36" s="23">
        <v>2.0</v>
      </c>
      <c r="P36" s="23">
        <v>2.0</v>
      </c>
      <c r="Q36" s="23">
        <v>0.0</v>
      </c>
      <c r="R36" s="23">
        <v>0.0</v>
      </c>
      <c r="S36" s="26">
        <f t="shared" si="3"/>
        <v>4</v>
      </c>
      <c r="T36" s="23">
        <v>3.0</v>
      </c>
      <c r="U36" s="23">
        <v>0.0</v>
      </c>
      <c r="V36" s="23">
        <v>0.0</v>
      </c>
      <c r="W36" s="23">
        <v>1.0</v>
      </c>
      <c r="X36" s="26">
        <f t="shared" si="4"/>
        <v>4</v>
      </c>
    </row>
    <row r="37">
      <c r="A37" s="20" t="s">
        <v>58</v>
      </c>
      <c r="B37" s="21">
        <v>0.0</v>
      </c>
      <c r="C37" s="22">
        <v>0.0</v>
      </c>
      <c r="D37" s="22">
        <v>0.0</v>
      </c>
      <c r="E37" s="22">
        <v>0.0</v>
      </c>
      <c r="F37" s="22">
        <v>0.0</v>
      </c>
      <c r="G37" s="22">
        <v>0.0</v>
      </c>
      <c r="H37" s="22">
        <v>0.0</v>
      </c>
      <c r="I37" s="22">
        <v>0.0</v>
      </c>
      <c r="J37" s="25">
        <f t="shared" si="1"/>
        <v>0</v>
      </c>
      <c r="K37" s="23">
        <v>0.0</v>
      </c>
      <c r="L37" s="23">
        <v>0.0</v>
      </c>
      <c r="M37" s="25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6">
        <f t="shared" si="3"/>
        <v>0</v>
      </c>
      <c r="T37" s="23">
        <v>0.0</v>
      </c>
      <c r="U37" s="23">
        <v>0.0</v>
      </c>
      <c r="V37" s="23">
        <v>0.0</v>
      </c>
      <c r="W37" s="23">
        <v>0.0</v>
      </c>
      <c r="X37" s="26">
        <f t="shared" si="4"/>
        <v>0</v>
      </c>
    </row>
    <row r="38">
      <c r="A38" s="20" t="s">
        <v>59</v>
      </c>
      <c r="B38" s="21">
        <v>0.0</v>
      </c>
      <c r="C38" s="22">
        <v>0.0</v>
      </c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5">
        <f t="shared" si="1"/>
        <v>0</v>
      </c>
      <c r="K38" s="23">
        <v>0.0</v>
      </c>
      <c r="L38" s="23">
        <v>0.0</v>
      </c>
      <c r="M38" s="25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6">
        <f t="shared" si="3"/>
        <v>0</v>
      </c>
      <c r="T38" s="23">
        <v>0.0</v>
      </c>
      <c r="U38" s="23">
        <v>0.0</v>
      </c>
      <c r="V38" s="23">
        <v>0.0</v>
      </c>
      <c r="W38" s="23">
        <v>0.0</v>
      </c>
      <c r="X38" s="26">
        <f t="shared" si="4"/>
        <v>0</v>
      </c>
      <c r="Y38" s="30"/>
      <c r="Z38" s="30"/>
    </row>
    <row r="39">
      <c r="A39" s="20" t="s">
        <v>60</v>
      </c>
      <c r="B39" s="21">
        <v>44.0</v>
      </c>
      <c r="C39" s="22">
        <v>2.0</v>
      </c>
      <c r="D39" s="22">
        <v>37.0</v>
      </c>
      <c r="E39" s="22">
        <v>0.0</v>
      </c>
      <c r="F39" s="22">
        <v>0.0</v>
      </c>
      <c r="G39" s="22">
        <v>0.0</v>
      </c>
      <c r="H39" s="22">
        <v>5.0</v>
      </c>
      <c r="I39" s="22">
        <v>0.0</v>
      </c>
      <c r="J39" s="25">
        <f t="shared" si="1"/>
        <v>44</v>
      </c>
      <c r="K39" s="23">
        <v>44.0</v>
      </c>
      <c r="L39" s="23">
        <v>0.0</v>
      </c>
      <c r="M39" s="25">
        <f t="shared" si="2"/>
        <v>44</v>
      </c>
      <c r="N39" s="23">
        <v>1.0</v>
      </c>
      <c r="O39" s="23">
        <v>2.0</v>
      </c>
      <c r="P39" s="23">
        <v>0.0</v>
      </c>
      <c r="Q39" s="23">
        <v>0.0</v>
      </c>
      <c r="R39" s="23">
        <v>41.0</v>
      </c>
      <c r="S39" s="26">
        <f t="shared" si="3"/>
        <v>44</v>
      </c>
      <c r="T39" s="23">
        <v>36.0</v>
      </c>
      <c r="U39" s="23">
        <v>0.0</v>
      </c>
      <c r="V39" s="23">
        <v>4.0</v>
      </c>
      <c r="W39" s="23">
        <v>4.0</v>
      </c>
      <c r="X39" s="26">
        <f t="shared" si="4"/>
        <v>44</v>
      </c>
      <c r="Y39" s="30"/>
      <c r="Z39" s="30"/>
    </row>
    <row r="40">
      <c r="A40" s="20" t="s">
        <v>61</v>
      </c>
      <c r="B40" s="21">
        <v>0.0</v>
      </c>
      <c r="C40" s="22">
        <v>0.0</v>
      </c>
      <c r="D40" s="22">
        <v>0.0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5">
        <f t="shared" si="1"/>
        <v>0</v>
      </c>
      <c r="K40" s="23">
        <v>0.0</v>
      </c>
      <c r="L40" s="23">
        <v>0.0</v>
      </c>
      <c r="M40" s="25">
        <f t="shared" si="2"/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6">
        <f t="shared" si="3"/>
        <v>0</v>
      </c>
      <c r="T40" s="23">
        <v>0.0</v>
      </c>
      <c r="U40" s="23">
        <v>0.0</v>
      </c>
      <c r="V40" s="23">
        <v>0.0</v>
      </c>
      <c r="W40" s="23">
        <v>0.0</v>
      </c>
      <c r="X40" s="26">
        <f t="shared" si="4"/>
        <v>0</v>
      </c>
      <c r="Y40" s="30"/>
      <c r="Z40" s="30"/>
    </row>
    <row r="41">
      <c r="A41" s="20" t="s">
        <v>62</v>
      </c>
      <c r="B41" s="21">
        <v>14.0</v>
      </c>
      <c r="C41" s="22">
        <v>2.0</v>
      </c>
      <c r="D41" s="22">
        <v>12.0</v>
      </c>
      <c r="E41" s="22">
        <v>0.0</v>
      </c>
      <c r="F41" s="22">
        <v>0.0</v>
      </c>
      <c r="G41" s="22">
        <v>0.0</v>
      </c>
      <c r="H41" s="22">
        <v>0.0</v>
      </c>
      <c r="I41" s="22">
        <v>0.0</v>
      </c>
      <c r="J41" s="25">
        <f t="shared" si="1"/>
        <v>14</v>
      </c>
      <c r="K41" s="23">
        <v>14.0</v>
      </c>
      <c r="L41" s="23">
        <v>0.0</v>
      </c>
      <c r="M41" s="25">
        <f t="shared" si="2"/>
        <v>14</v>
      </c>
      <c r="N41" s="23">
        <v>2.0</v>
      </c>
      <c r="O41" s="23">
        <v>2.0</v>
      </c>
      <c r="P41" s="23">
        <v>9.0</v>
      </c>
      <c r="Q41" s="23">
        <v>0.0</v>
      </c>
      <c r="R41" s="23">
        <v>1.0</v>
      </c>
      <c r="S41" s="26">
        <f t="shared" si="3"/>
        <v>14</v>
      </c>
      <c r="T41" s="23">
        <v>12.0</v>
      </c>
      <c r="U41" s="23">
        <v>1.0</v>
      </c>
      <c r="V41" s="23">
        <v>0.0</v>
      </c>
      <c r="W41" s="23">
        <v>1.0</v>
      </c>
      <c r="X41" s="26">
        <f t="shared" si="4"/>
        <v>14</v>
      </c>
    </row>
    <row r="42">
      <c r="A42" s="20" t="s">
        <v>63</v>
      </c>
      <c r="B42" s="21">
        <v>2.0</v>
      </c>
      <c r="C42" s="22">
        <v>0.0</v>
      </c>
      <c r="D42" s="22">
        <v>2.0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5">
        <f t="shared" si="1"/>
        <v>2</v>
      </c>
      <c r="K42" s="23">
        <v>2.0</v>
      </c>
      <c r="L42" s="23">
        <v>0.0</v>
      </c>
      <c r="M42" s="25">
        <f t="shared" si="2"/>
        <v>2</v>
      </c>
      <c r="N42" s="23">
        <v>0.0</v>
      </c>
      <c r="O42" s="23">
        <v>0.0</v>
      </c>
      <c r="P42" s="23">
        <v>2.0</v>
      </c>
      <c r="Q42" s="23">
        <v>0.0</v>
      </c>
      <c r="R42" s="23">
        <v>0.0</v>
      </c>
      <c r="S42" s="26">
        <f t="shared" si="3"/>
        <v>2</v>
      </c>
      <c r="T42" s="23">
        <v>1.0</v>
      </c>
      <c r="U42" s="23">
        <v>0.0</v>
      </c>
      <c r="V42" s="23">
        <v>1.0</v>
      </c>
      <c r="W42" s="23">
        <v>0.0</v>
      </c>
      <c r="X42" s="26">
        <f t="shared" si="4"/>
        <v>2</v>
      </c>
    </row>
    <row r="43">
      <c r="A43" s="20" t="s">
        <v>64</v>
      </c>
      <c r="B43" s="21">
        <v>1.0</v>
      </c>
      <c r="C43" s="22">
        <v>1.0</v>
      </c>
      <c r="D43" s="22">
        <v>0.0</v>
      </c>
      <c r="E43" s="22">
        <v>0.0</v>
      </c>
      <c r="F43" s="22">
        <v>0.0</v>
      </c>
      <c r="G43" s="22">
        <v>0.0</v>
      </c>
      <c r="H43" s="22">
        <v>0.0</v>
      </c>
      <c r="I43" s="22">
        <v>0.0</v>
      </c>
      <c r="J43" s="25">
        <f t="shared" si="1"/>
        <v>1</v>
      </c>
      <c r="K43" s="23">
        <v>1.0</v>
      </c>
      <c r="L43" s="23">
        <v>0.0</v>
      </c>
      <c r="M43" s="25">
        <f t="shared" si="2"/>
        <v>1</v>
      </c>
      <c r="N43" s="23">
        <v>0.0</v>
      </c>
      <c r="O43" s="23">
        <v>0.0</v>
      </c>
      <c r="P43" s="23">
        <v>1.0</v>
      </c>
      <c r="Q43" s="23">
        <v>0.0</v>
      </c>
      <c r="R43" s="23">
        <v>0.0</v>
      </c>
      <c r="S43" s="26">
        <f t="shared" si="3"/>
        <v>1</v>
      </c>
      <c r="T43" s="23">
        <v>1.0</v>
      </c>
      <c r="U43" s="23">
        <v>0.0</v>
      </c>
      <c r="V43" s="23">
        <v>0.0</v>
      </c>
      <c r="W43" s="23">
        <v>0.0</v>
      </c>
      <c r="X43" s="26">
        <f t="shared" si="4"/>
        <v>1</v>
      </c>
    </row>
    <row r="44">
      <c r="A44" s="20" t="s">
        <v>65</v>
      </c>
      <c r="B44" s="21">
        <v>0.0</v>
      </c>
      <c r="C44" s="22">
        <v>0.0</v>
      </c>
      <c r="D44" s="22">
        <v>0.0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5">
        <f t="shared" si="1"/>
        <v>0</v>
      </c>
      <c r="K44" s="23">
        <v>0.0</v>
      </c>
      <c r="L44" s="23">
        <v>0.0</v>
      </c>
      <c r="M44" s="25">
        <f t="shared" si="2"/>
        <v>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6">
        <f t="shared" si="3"/>
        <v>0</v>
      </c>
      <c r="T44" s="23">
        <v>0.0</v>
      </c>
      <c r="U44" s="23">
        <v>0.0</v>
      </c>
      <c r="V44" s="23">
        <v>0.0</v>
      </c>
      <c r="W44" s="23">
        <v>0.0</v>
      </c>
      <c r="X44" s="26">
        <f t="shared" si="4"/>
        <v>0</v>
      </c>
    </row>
    <row r="45">
      <c r="A45" s="20" t="s">
        <v>66</v>
      </c>
      <c r="B45" s="21">
        <v>23.0</v>
      </c>
      <c r="C45" s="22">
        <v>2.0</v>
      </c>
      <c r="D45" s="22">
        <v>15.0</v>
      </c>
      <c r="E45" s="22">
        <v>0.0</v>
      </c>
      <c r="F45" s="22">
        <v>0.0</v>
      </c>
      <c r="G45" s="22">
        <v>0.0</v>
      </c>
      <c r="H45" s="22">
        <v>6.0</v>
      </c>
      <c r="I45" s="22">
        <v>0.0</v>
      </c>
      <c r="J45" s="25">
        <f t="shared" si="1"/>
        <v>23</v>
      </c>
      <c r="K45" s="23">
        <v>19.0</v>
      </c>
      <c r="L45" s="23">
        <v>4.0</v>
      </c>
      <c r="M45" s="25">
        <f t="shared" si="2"/>
        <v>23</v>
      </c>
      <c r="N45" s="23">
        <v>11.0</v>
      </c>
      <c r="O45" s="23">
        <v>10.0</v>
      </c>
      <c r="P45" s="23">
        <v>2.0</v>
      </c>
      <c r="Q45" s="23">
        <v>0.0</v>
      </c>
      <c r="R45" s="23">
        <v>0.0</v>
      </c>
      <c r="S45" s="26">
        <f t="shared" si="3"/>
        <v>23</v>
      </c>
      <c r="T45" s="23">
        <v>19.0</v>
      </c>
      <c r="U45" s="23">
        <v>0.0</v>
      </c>
      <c r="V45" s="23">
        <v>3.0</v>
      </c>
      <c r="W45" s="23">
        <v>1.0</v>
      </c>
      <c r="X45" s="26">
        <f t="shared" si="4"/>
        <v>23</v>
      </c>
    </row>
    <row r="46">
      <c r="A46" s="20" t="s">
        <v>67</v>
      </c>
      <c r="B46" s="21">
        <v>0.0</v>
      </c>
      <c r="C46" s="22">
        <v>0.0</v>
      </c>
      <c r="D46" s="22">
        <v>0.0</v>
      </c>
      <c r="E46" s="22">
        <v>0.0</v>
      </c>
      <c r="F46" s="22">
        <v>0.0</v>
      </c>
      <c r="G46" s="22">
        <v>0.0</v>
      </c>
      <c r="H46" s="22">
        <v>0.0</v>
      </c>
      <c r="I46" s="22">
        <v>0.0</v>
      </c>
      <c r="J46" s="25">
        <f t="shared" si="1"/>
        <v>0</v>
      </c>
      <c r="K46" s="23">
        <v>0.0</v>
      </c>
      <c r="L46" s="23">
        <v>0.0</v>
      </c>
      <c r="M46" s="25">
        <f t="shared" si="2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6">
        <f t="shared" si="3"/>
        <v>0</v>
      </c>
      <c r="T46" s="23">
        <v>0.0</v>
      </c>
      <c r="U46" s="23">
        <v>0.0</v>
      </c>
      <c r="V46" s="23">
        <v>0.0</v>
      </c>
      <c r="W46" s="23">
        <v>0.0</v>
      </c>
      <c r="X46" s="26">
        <f t="shared" si="4"/>
        <v>0</v>
      </c>
    </row>
    <row r="47">
      <c r="A47" s="20" t="s">
        <v>68</v>
      </c>
      <c r="B47" s="21">
        <v>3.0</v>
      </c>
      <c r="C47" s="22">
        <v>0.0</v>
      </c>
      <c r="D47" s="22">
        <v>3.0</v>
      </c>
      <c r="E47" s="22">
        <v>0.0</v>
      </c>
      <c r="F47" s="22">
        <v>0.0</v>
      </c>
      <c r="G47" s="22">
        <v>0.0</v>
      </c>
      <c r="H47" s="22">
        <v>0.0</v>
      </c>
      <c r="I47" s="22">
        <v>0.0</v>
      </c>
      <c r="J47" s="25">
        <f t="shared" si="1"/>
        <v>3</v>
      </c>
      <c r="K47" s="23">
        <v>3.0</v>
      </c>
      <c r="L47" s="23">
        <v>0.0</v>
      </c>
      <c r="M47" s="25">
        <f t="shared" si="2"/>
        <v>3</v>
      </c>
      <c r="N47" s="23">
        <v>3.0</v>
      </c>
      <c r="O47" s="23">
        <v>0.0</v>
      </c>
      <c r="P47" s="23">
        <v>0.0</v>
      </c>
      <c r="Q47" s="23">
        <v>0.0</v>
      </c>
      <c r="R47" s="23">
        <v>0.0</v>
      </c>
      <c r="S47" s="26">
        <f t="shared" si="3"/>
        <v>3</v>
      </c>
      <c r="T47" s="23">
        <v>3.0</v>
      </c>
      <c r="U47" s="23">
        <v>0.0</v>
      </c>
      <c r="V47" s="23">
        <v>0.0</v>
      </c>
      <c r="W47" s="23">
        <v>0.0</v>
      </c>
      <c r="X47" s="26">
        <f t="shared" si="4"/>
        <v>3</v>
      </c>
    </row>
    <row r="48">
      <c r="A48" s="20" t="s">
        <v>69</v>
      </c>
      <c r="B48" s="21">
        <v>0.0</v>
      </c>
      <c r="C48" s="22">
        <v>0.0</v>
      </c>
      <c r="D48" s="22">
        <v>0.0</v>
      </c>
      <c r="E48" s="22">
        <v>0.0</v>
      </c>
      <c r="F48" s="22">
        <v>0.0</v>
      </c>
      <c r="G48" s="22">
        <v>0.0</v>
      </c>
      <c r="H48" s="22">
        <v>0.0</v>
      </c>
      <c r="I48" s="22">
        <v>0.0</v>
      </c>
      <c r="J48" s="25">
        <f t="shared" si="1"/>
        <v>0</v>
      </c>
      <c r="K48" s="23">
        <v>0.0</v>
      </c>
      <c r="L48" s="23">
        <v>0.0</v>
      </c>
      <c r="M48" s="25">
        <f t="shared" si="2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6">
        <f t="shared" si="3"/>
        <v>0</v>
      </c>
      <c r="T48" s="23">
        <v>0.0</v>
      </c>
      <c r="U48" s="23">
        <v>0.0</v>
      </c>
      <c r="V48" s="23">
        <v>0.0</v>
      </c>
      <c r="W48" s="23">
        <v>0.0</v>
      </c>
      <c r="X48" s="26">
        <f t="shared" si="4"/>
        <v>0</v>
      </c>
    </row>
    <row r="49">
      <c r="A49" s="20" t="s">
        <v>70</v>
      </c>
      <c r="B49" s="21">
        <v>1.0</v>
      </c>
      <c r="C49" s="22">
        <v>0.0</v>
      </c>
      <c r="D49" s="22">
        <v>0.0</v>
      </c>
      <c r="E49" s="22">
        <v>0.0</v>
      </c>
      <c r="F49" s="22">
        <v>0.0</v>
      </c>
      <c r="G49" s="22">
        <v>0.0</v>
      </c>
      <c r="H49" s="22">
        <v>1.0</v>
      </c>
      <c r="I49" s="22">
        <v>0.0</v>
      </c>
      <c r="J49" s="25">
        <f t="shared" si="1"/>
        <v>1</v>
      </c>
      <c r="K49" s="23">
        <v>1.0</v>
      </c>
      <c r="L49" s="23">
        <v>0.0</v>
      </c>
      <c r="M49" s="25">
        <f t="shared" si="2"/>
        <v>1</v>
      </c>
      <c r="N49" s="23">
        <v>0.0</v>
      </c>
      <c r="O49" s="23">
        <v>1.0</v>
      </c>
      <c r="P49" s="23">
        <v>0.0</v>
      </c>
      <c r="Q49" s="23">
        <v>0.0</v>
      </c>
      <c r="R49" s="23">
        <v>0.0</v>
      </c>
      <c r="S49" s="26">
        <f t="shared" si="3"/>
        <v>1</v>
      </c>
      <c r="T49" s="23">
        <v>1.0</v>
      </c>
      <c r="U49" s="23">
        <v>0.0</v>
      </c>
      <c r="V49" s="23">
        <v>0.0</v>
      </c>
      <c r="W49" s="23">
        <v>0.0</v>
      </c>
      <c r="X49" s="26">
        <f t="shared" si="4"/>
        <v>1</v>
      </c>
    </row>
    <row r="50">
      <c r="A50" s="20" t="s">
        <v>71</v>
      </c>
      <c r="B50" s="21">
        <v>62.0</v>
      </c>
      <c r="C50" s="22">
        <v>10.0</v>
      </c>
      <c r="D50" s="22">
        <v>46.0</v>
      </c>
      <c r="E50" s="22">
        <v>0.0</v>
      </c>
      <c r="F50" s="22">
        <v>0.0</v>
      </c>
      <c r="G50" s="22">
        <v>0.0</v>
      </c>
      <c r="H50" s="22">
        <v>6.0</v>
      </c>
      <c r="I50" s="22">
        <v>0.0</v>
      </c>
      <c r="J50" s="25">
        <f t="shared" si="1"/>
        <v>62</v>
      </c>
      <c r="K50" s="23">
        <v>51.0</v>
      </c>
      <c r="L50" s="23">
        <v>11.0</v>
      </c>
      <c r="M50" s="25">
        <f t="shared" si="2"/>
        <v>62</v>
      </c>
      <c r="N50" s="23">
        <v>13.0</v>
      </c>
      <c r="O50" s="23">
        <v>48.0</v>
      </c>
      <c r="P50" s="23">
        <v>0.0</v>
      </c>
      <c r="Q50" s="23">
        <v>1.0</v>
      </c>
      <c r="R50" s="23">
        <v>0.0</v>
      </c>
      <c r="S50" s="26">
        <f t="shared" si="3"/>
        <v>62</v>
      </c>
      <c r="T50" s="23">
        <v>52.0</v>
      </c>
      <c r="U50" s="23">
        <v>0.0</v>
      </c>
      <c r="V50" s="23">
        <v>8.0</v>
      </c>
      <c r="W50" s="23">
        <v>2.0</v>
      </c>
      <c r="X50" s="26">
        <f t="shared" si="4"/>
        <v>62</v>
      </c>
    </row>
    <row r="51">
      <c r="A51" s="20" t="s">
        <v>72</v>
      </c>
      <c r="B51" s="21">
        <v>1.0</v>
      </c>
      <c r="C51" s="22">
        <v>0.0</v>
      </c>
      <c r="D51" s="22">
        <v>1.0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5">
        <f t="shared" si="1"/>
        <v>1</v>
      </c>
      <c r="K51" s="23">
        <v>1.0</v>
      </c>
      <c r="L51" s="23">
        <v>0.0</v>
      </c>
      <c r="M51" s="25">
        <f t="shared" si="2"/>
        <v>1</v>
      </c>
      <c r="N51" s="23">
        <v>0.0</v>
      </c>
      <c r="O51" s="23">
        <v>0.0</v>
      </c>
      <c r="P51" s="23">
        <v>1.0</v>
      </c>
      <c r="Q51" s="23">
        <v>0.0</v>
      </c>
      <c r="R51" s="23">
        <v>0.0</v>
      </c>
      <c r="S51" s="26">
        <f t="shared" si="3"/>
        <v>1</v>
      </c>
      <c r="T51" s="23">
        <v>0.0</v>
      </c>
      <c r="U51" s="23">
        <v>0.0</v>
      </c>
      <c r="V51" s="23">
        <v>0.0</v>
      </c>
      <c r="W51" s="23">
        <v>1.0</v>
      </c>
      <c r="X51" s="26">
        <f t="shared" si="4"/>
        <v>1</v>
      </c>
    </row>
    <row r="52">
      <c r="A52" s="20" t="s">
        <v>73</v>
      </c>
      <c r="B52" s="21">
        <v>0.0</v>
      </c>
      <c r="C52" s="22">
        <v>0.0</v>
      </c>
      <c r="D52" s="22">
        <v>0.0</v>
      </c>
      <c r="E52" s="22">
        <v>0.0</v>
      </c>
      <c r="F52" s="22">
        <v>0.0</v>
      </c>
      <c r="G52" s="22">
        <v>0.0</v>
      </c>
      <c r="H52" s="22">
        <v>0.0</v>
      </c>
      <c r="I52" s="22">
        <v>0.0</v>
      </c>
      <c r="J52" s="25">
        <f t="shared" si="1"/>
        <v>0</v>
      </c>
      <c r="K52" s="23">
        <v>0.0</v>
      </c>
      <c r="L52" s="23">
        <v>0.0</v>
      </c>
      <c r="M52" s="25">
        <f t="shared" si="2"/>
        <v>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6">
        <f t="shared" si="3"/>
        <v>0</v>
      </c>
      <c r="T52" s="23">
        <v>0.0</v>
      </c>
      <c r="U52" s="23">
        <v>0.0</v>
      </c>
      <c r="V52" s="23">
        <v>0.0</v>
      </c>
      <c r="W52" s="23">
        <v>0.0</v>
      </c>
      <c r="X52" s="26">
        <f t="shared" si="4"/>
        <v>0</v>
      </c>
    </row>
    <row r="53">
      <c r="A53" s="20" t="s">
        <v>74</v>
      </c>
      <c r="B53" s="21">
        <v>9.0</v>
      </c>
      <c r="C53" s="22">
        <v>0.0</v>
      </c>
      <c r="D53" s="22">
        <v>9.0</v>
      </c>
      <c r="E53" s="22">
        <v>0.0</v>
      </c>
      <c r="F53" s="22">
        <v>0.0</v>
      </c>
      <c r="G53" s="22">
        <v>0.0</v>
      </c>
      <c r="H53" s="22">
        <v>0.0</v>
      </c>
      <c r="I53" s="22">
        <v>0.0</v>
      </c>
      <c r="J53" s="25">
        <f t="shared" si="1"/>
        <v>9</v>
      </c>
      <c r="K53" s="23">
        <v>9.0</v>
      </c>
      <c r="L53" s="23">
        <v>0.0</v>
      </c>
      <c r="M53" s="25">
        <f t="shared" si="2"/>
        <v>9</v>
      </c>
      <c r="N53" s="23">
        <v>6.0</v>
      </c>
      <c r="O53" s="23">
        <v>0.0</v>
      </c>
      <c r="P53" s="23">
        <v>0.0</v>
      </c>
      <c r="Q53" s="23">
        <v>0.0</v>
      </c>
      <c r="R53" s="23">
        <v>3.0</v>
      </c>
      <c r="S53" s="26">
        <f t="shared" si="3"/>
        <v>9</v>
      </c>
      <c r="T53" s="23">
        <v>4.0</v>
      </c>
      <c r="U53" s="23">
        <v>0.0</v>
      </c>
      <c r="V53" s="23">
        <v>5.0</v>
      </c>
      <c r="W53" s="23">
        <v>0.0</v>
      </c>
      <c r="X53" s="26">
        <f t="shared" si="4"/>
        <v>9</v>
      </c>
    </row>
    <row r="54">
      <c r="A54" s="20" t="s">
        <v>75</v>
      </c>
      <c r="B54" s="21">
        <v>2.0</v>
      </c>
      <c r="C54" s="22">
        <v>0.0</v>
      </c>
      <c r="D54" s="22">
        <v>2.0</v>
      </c>
      <c r="E54" s="22">
        <v>0.0</v>
      </c>
      <c r="F54" s="22">
        <v>0.0</v>
      </c>
      <c r="G54" s="22">
        <v>0.0</v>
      </c>
      <c r="H54" s="22">
        <v>0.0</v>
      </c>
      <c r="I54" s="22">
        <v>0.0</v>
      </c>
      <c r="J54" s="25">
        <f t="shared" si="1"/>
        <v>2</v>
      </c>
      <c r="K54" s="23">
        <v>2.0</v>
      </c>
      <c r="L54" s="23">
        <v>0.0</v>
      </c>
      <c r="M54" s="25">
        <f t="shared" si="2"/>
        <v>2</v>
      </c>
      <c r="N54" s="23">
        <v>1.0</v>
      </c>
      <c r="O54" s="23">
        <v>0.0</v>
      </c>
      <c r="P54" s="23">
        <v>0.0</v>
      </c>
      <c r="Q54" s="23">
        <v>0.0</v>
      </c>
      <c r="R54" s="23">
        <v>1.0</v>
      </c>
      <c r="S54" s="26">
        <f t="shared" si="3"/>
        <v>2</v>
      </c>
      <c r="T54" s="23">
        <v>1.0</v>
      </c>
      <c r="U54" s="23">
        <v>0.0</v>
      </c>
      <c r="V54" s="23">
        <v>1.0</v>
      </c>
      <c r="W54" s="23">
        <v>0.0</v>
      </c>
      <c r="X54" s="26">
        <f t="shared" si="4"/>
        <v>2</v>
      </c>
    </row>
    <row r="55">
      <c r="A55" s="20" t="s">
        <v>76</v>
      </c>
      <c r="B55" s="21">
        <v>0.0</v>
      </c>
      <c r="C55" s="22">
        <v>0.0</v>
      </c>
      <c r="D55" s="22">
        <v>0.0</v>
      </c>
      <c r="E55" s="22">
        <v>0.0</v>
      </c>
      <c r="F55" s="22">
        <v>0.0</v>
      </c>
      <c r="G55" s="22">
        <v>0.0</v>
      </c>
      <c r="H55" s="22">
        <v>0.0</v>
      </c>
      <c r="I55" s="22">
        <v>0.0</v>
      </c>
      <c r="J55" s="25">
        <f t="shared" si="1"/>
        <v>0</v>
      </c>
      <c r="K55" s="23">
        <v>0.0</v>
      </c>
      <c r="L55" s="23">
        <v>0.0</v>
      </c>
      <c r="M55" s="25">
        <f t="shared" si="2"/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6">
        <f t="shared" si="3"/>
        <v>0</v>
      </c>
      <c r="T55" s="23">
        <v>0.0</v>
      </c>
      <c r="U55" s="23">
        <v>0.0</v>
      </c>
      <c r="V55" s="23">
        <v>0.0</v>
      </c>
      <c r="W55" s="23">
        <v>0.0</v>
      </c>
      <c r="X55" s="26">
        <f t="shared" si="4"/>
        <v>0</v>
      </c>
    </row>
    <row r="56">
      <c r="A56" s="20" t="s">
        <v>77</v>
      </c>
      <c r="B56" s="21">
        <v>0.0</v>
      </c>
      <c r="C56" s="22">
        <v>0.0</v>
      </c>
      <c r="D56" s="22">
        <v>0.0</v>
      </c>
      <c r="E56" s="22">
        <v>0.0</v>
      </c>
      <c r="F56" s="22">
        <v>0.0</v>
      </c>
      <c r="G56" s="22">
        <v>0.0</v>
      </c>
      <c r="H56" s="22">
        <v>0.0</v>
      </c>
      <c r="I56" s="22">
        <v>0.0</v>
      </c>
      <c r="J56" s="25">
        <f t="shared" si="1"/>
        <v>0</v>
      </c>
      <c r="K56" s="23">
        <v>0.0</v>
      </c>
      <c r="L56" s="23">
        <v>0.0</v>
      </c>
      <c r="M56" s="25">
        <f t="shared" si="2"/>
        <v>0</v>
      </c>
      <c r="N56" s="23">
        <v>0.0</v>
      </c>
      <c r="O56" s="23">
        <v>0.0</v>
      </c>
      <c r="P56" s="23">
        <v>0.0</v>
      </c>
      <c r="Q56" s="23">
        <v>0.0</v>
      </c>
      <c r="R56" s="23">
        <v>0.0</v>
      </c>
      <c r="S56" s="26">
        <f t="shared" si="3"/>
        <v>0</v>
      </c>
      <c r="T56" s="23">
        <v>0.0</v>
      </c>
      <c r="U56" s="23">
        <v>0.0</v>
      </c>
      <c r="V56" s="23">
        <v>0.0</v>
      </c>
      <c r="W56" s="23">
        <v>0.0</v>
      </c>
      <c r="X56" s="26">
        <f t="shared" si="4"/>
        <v>0</v>
      </c>
    </row>
    <row r="57">
      <c r="A57" s="20" t="s">
        <v>78</v>
      </c>
      <c r="B57" s="21">
        <v>0.0</v>
      </c>
      <c r="C57" s="22">
        <v>0.0</v>
      </c>
      <c r="D57" s="22">
        <v>0.0</v>
      </c>
      <c r="E57" s="22">
        <v>0.0</v>
      </c>
      <c r="F57" s="22">
        <v>0.0</v>
      </c>
      <c r="G57" s="22">
        <v>0.0</v>
      </c>
      <c r="H57" s="22">
        <v>0.0</v>
      </c>
      <c r="I57" s="22">
        <v>0.0</v>
      </c>
      <c r="J57" s="25">
        <f t="shared" si="1"/>
        <v>0</v>
      </c>
      <c r="K57" s="23">
        <v>0.0</v>
      </c>
      <c r="L57" s="23">
        <v>0.0</v>
      </c>
      <c r="M57" s="25">
        <f t="shared" si="2"/>
        <v>0</v>
      </c>
      <c r="N57" s="23">
        <v>0.0</v>
      </c>
      <c r="O57" s="23">
        <v>0.0</v>
      </c>
      <c r="P57" s="23">
        <v>0.0</v>
      </c>
      <c r="Q57" s="23">
        <v>0.0</v>
      </c>
      <c r="R57" s="23">
        <v>0.0</v>
      </c>
      <c r="S57" s="26">
        <f t="shared" si="3"/>
        <v>0</v>
      </c>
      <c r="T57" s="23">
        <v>0.0</v>
      </c>
      <c r="U57" s="23">
        <v>0.0</v>
      </c>
      <c r="V57" s="23">
        <v>0.0</v>
      </c>
      <c r="W57" s="23">
        <v>0.0</v>
      </c>
      <c r="X57" s="26">
        <f t="shared" si="4"/>
        <v>0</v>
      </c>
    </row>
    <row r="58">
      <c r="A58" s="20" t="s">
        <v>79</v>
      </c>
      <c r="B58" s="21">
        <v>0.0</v>
      </c>
      <c r="C58" s="22">
        <v>0.0</v>
      </c>
      <c r="D58" s="22">
        <v>0.0</v>
      </c>
      <c r="E58" s="22">
        <v>0.0</v>
      </c>
      <c r="F58" s="22">
        <v>0.0</v>
      </c>
      <c r="G58" s="22">
        <v>0.0</v>
      </c>
      <c r="H58" s="22">
        <v>0.0</v>
      </c>
      <c r="I58" s="22">
        <v>0.0</v>
      </c>
      <c r="J58" s="25">
        <f t="shared" si="1"/>
        <v>0</v>
      </c>
      <c r="K58" s="23">
        <v>0.0</v>
      </c>
      <c r="L58" s="23">
        <v>0.0</v>
      </c>
      <c r="M58" s="25">
        <f t="shared" si="2"/>
        <v>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6">
        <f t="shared" si="3"/>
        <v>0</v>
      </c>
      <c r="T58" s="23">
        <v>0.0</v>
      </c>
      <c r="U58" s="23">
        <v>0.0</v>
      </c>
      <c r="V58" s="23">
        <v>0.0</v>
      </c>
      <c r="W58" s="23">
        <v>0.0</v>
      </c>
      <c r="X58" s="26">
        <f t="shared" si="4"/>
        <v>0</v>
      </c>
    </row>
    <row r="59">
      <c r="A59" s="20" t="s">
        <v>80</v>
      </c>
      <c r="B59" s="21">
        <v>1.0</v>
      </c>
      <c r="C59" s="22">
        <v>0.0</v>
      </c>
      <c r="D59" s="22">
        <v>1.0</v>
      </c>
      <c r="E59" s="22">
        <v>0.0</v>
      </c>
      <c r="F59" s="22">
        <v>0.0</v>
      </c>
      <c r="G59" s="22">
        <v>0.0</v>
      </c>
      <c r="H59" s="22">
        <v>0.0</v>
      </c>
      <c r="I59" s="22">
        <v>0.0</v>
      </c>
      <c r="J59" s="25">
        <f t="shared" si="1"/>
        <v>1</v>
      </c>
      <c r="K59" s="23">
        <v>0.0</v>
      </c>
      <c r="L59" s="23">
        <v>1.0</v>
      </c>
      <c r="M59" s="25">
        <f t="shared" si="2"/>
        <v>1</v>
      </c>
      <c r="N59" s="23">
        <v>0.0</v>
      </c>
      <c r="O59" s="23">
        <v>1.0</v>
      </c>
      <c r="P59" s="23">
        <v>0.0</v>
      </c>
      <c r="Q59" s="23">
        <v>0.0</v>
      </c>
      <c r="R59" s="23">
        <v>0.0</v>
      </c>
      <c r="S59" s="26">
        <f t="shared" si="3"/>
        <v>1</v>
      </c>
      <c r="T59" s="23">
        <v>0.0</v>
      </c>
      <c r="U59" s="23">
        <v>0.0</v>
      </c>
      <c r="V59" s="23">
        <v>1.0</v>
      </c>
      <c r="W59" s="23">
        <v>0.0</v>
      </c>
      <c r="X59" s="26">
        <f t="shared" si="4"/>
        <v>1</v>
      </c>
    </row>
    <row r="60">
      <c r="A60" s="20" t="s">
        <v>81</v>
      </c>
      <c r="B60" s="21">
        <v>0.0</v>
      </c>
      <c r="C60" s="22">
        <v>0.0</v>
      </c>
      <c r="D60" s="22">
        <v>0.0</v>
      </c>
      <c r="E60" s="22">
        <v>0.0</v>
      </c>
      <c r="F60" s="22">
        <v>0.0</v>
      </c>
      <c r="G60" s="22">
        <v>0.0</v>
      </c>
      <c r="H60" s="22">
        <v>0.0</v>
      </c>
      <c r="I60" s="22">
        <v>0.0</v>
      </c>
      <c r="J60" s="25">
        <f t="shared" si="1"/>
        <v>0</v>
      </c>
      <c r="K60" s="23">
        <v>0.0</v>
      </c>
      <c r="L60" s="23">
        <v>0.0</v>
      </c>
      <c r="M60" s="25">
        <f t="shared" si="2"/>
        <v>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6">
        <f t="shared" si="3"/>
        <v>0</v>
      </c>
      <c r="T60" s="23">
        <v>0.0</v>
      </c>
      <c r="U60" s="23">
        <v>0.0</v>
      </c>
      <c r="V60" s="23">
        <v>0.0</v>
      </c>
      <c r="W60" s="23">
        <v>0.0</v>
      </c>
      <c r="X60" s="26">
        <f t="shared" si="4"/>
        <v>0</v>
      </c>
    </row>
    <row r="61">
      <c r="A61" s="20" t="s">
        <v>82</v>
      </c>
      <c r="B61" s="21">
        <v>5.0</v>
      </c>
      <c r="C61" s="22">
        <v>1.0</v>
      </c>
      <c r="D61" s="22">
        <v>2.0</v>
      </c>
      <c r="E61" s="22">
        <v>0.0</v>
      </c>
      <c r="F61" s="22">
        <v>0.0</v>
      </c>
      <c r="G61" s="22">
        <v>0.0</v>
      </c>
      <c r="H61" s="22">
        <v>2.0</v>
      </c>
      <c r="I61" s="22">
        <v>0.0</v>
      </c>
      <c r="J61" s="25">
        <f t="shared" si="1"/>
        <v>5</v>
      </c>
      <c r="K61" s="23">
        <v>3.0</v>
      </c>
      <c r="L61" s="23">
        <v>2.0</v>
      </c>
      <c r="M61" s="25">
        <f t="shared" si="2"/>
        <v>5</v>
      </c>
      <c r="N61" s="23">
        <v>0.0</v>
      </c>
      <c r="O61" s="23">
        <v>5.0</v>
      </c>
      <c r="P61" s="23">
        <v>0.0</v>
      </c>
      <c r="Q61" s="23">
        <v>0.0</v>
      </c>
      <c r="R61" s="23">
        <v>0.0</v>
      </c>
      <c r="S61" s="26">
        <f t="shared" si="3"/>
        <v>5</v>
      </c>
      <c r="T61" s="23">
        <v>3.0</v>
      </c>
      <c r="U61" s="23">
        <v>0.0</v>
      </c>
      <c r="V61" s="23">
        <v>0.0</v>
      </c>
      <c r="W61" s="23">
        <v>2.0</v>
      </c>
      <c r="X61" s="26">
        <f t="shared" si="4"/>
        <v>5</v>
      </c>
    </row>
    <row r="62">
      <c r="A62" s="20" t="s">
        <v>83</v>
      </c>
      <c r="B62" s="21">
        <v>0.0</v>
      </c>
      <c r="C62" s="22">
        <v>0.0</v>
      </c>
      <c r="D62" s="22">
        <v>0.0</v>
      </c>
      <c r="E62" s="22">
        <v>0.0</v>
      </c>
      <c r="F62" s="22">
        <v>0.0</v>
      </c>
      <c r="G62" s="22">
        <v>0.0</v>
      </c>
      <c r="H62" s="22">
        <v>0.0</v>
      </c>
      <c r="I62" s="22">
        <v>0.0</v>
      </c>
      <c r="J62" s="25">
        <f t="shared" si="1"/>
        <v>0</v>
      </c>
      <c r="K62" s="23">
        <v>0.0</v>
      </c>
      <c r="L62" s="23">
        <v>0.0</v>
      </c>
      <c r="M62" s="25">
        <f t="shared" si="2"/>
        <v>0</v>
      </c>
      <c r="N62" s="23">
        <v>0.0</v>
      </c>
      <c r="O62" s="23">
        <v>0.0</v>
      </c>
      <c r="P62" s="23">
        <v>0.0</v>
      </c>
      <c r="Q62" s="23">
        <v>0.0</v>
      </c>
      <c r="R62" s="23">
        <v>0.0</v>
      </c>
      <c r="S62" s="26">
        <f t="shared" si="3"/>
        <v>0</v>
      </c>
      <c r="T62" s="23">
        <v>0.0</v>
      </c>
      <c r="U62" s="23">
        <v>0.0</v>
      </c>
      <c r="V62" s="23">
        <v>0.0</v>
      </c>
      <c r="W62" s="23">
        <v>0.0</v>
      </c>
      <c r="X62" s="26">
        <f t="shared" si="4"/>
        <v>0</v>
      </c>
    </row>
    <row r="63">
      <c r="A63" s="20" t="s">
        <v>84</v>
      </c>
      <c r="B63" s="21">
        <v>21.0</v>
      </c>
      <c r="C63" s="22">
        <v>0.0</v>
      </c>
      <c r="D63" s="22">
        <v>21.0</v>
      </c>
      <c r="E63" s="22">
        <v>0.0</v>
      </c>
      <c r="F63" s="22">
        <v>0.0</v>
      </c>
      <c r="G63" s="22">
        <v>0.0</v>
      </c>
      <c r="H63" s="22">
        <v>0.0</v>
      </c>
      <c r="I63" s="22">
        <v>0.0</v>
      </c>
      <c r="J63" s="25">
        <f t="shared" si="1"/>
        <v>21</v>
      </c>
      <c r="K63" s="23">
        <v>21.0</v>
      </c>
      <c r="L63" s="23">
        <v>0.0</v>
      </c>
      <c r="M63" s="25">
        <f t="shared" si="2"/>
        <v>21</v>
      </c>
      <c r="N63" s="23">
        <v>4.0</v>
      </c>
      <c r="O63" s="23">
        <v>0.0</v>
      </c>
      <c r="P63" s="23">
        <v>0.0</v>
      </c>
      <c r="Q63" s="23">
        <v>0.0</v>
      </c>
      <c r="R63" s="23">
        <v>17.0</v>
      </c>
      <c r="S63" s="26">
        <f t="shared" si="3"/>
        <v>21</v>
      </c>
      <c r="T63" s="23">
        <v>21.0</v>
      </c>
      <c r="U63" s="23">
        <v>0.0</v>
      </c>
      <c r="V63" s="23">
        <v>0.0</v>
      </c>
      <c r="W63" s="23">
        <v>0.0</v>
      </c>
      <c r="X63" s="26">
        <f t="shared" si="4"/>
        <v>21</v>
      </c>
    </row>
    <row r="64">
      <c r="A64" s="20" t="s">
        <v>85</v>
      </c>
      <c r="B64" s="21">
        <v>1.0</v>
      </c>
      <c r="C64" s="22">
        <v>0.0</v>
      </c>
      <c r="D64" s="22">
        <v>1.0</v>
      </c>
      <c r="E64" s="22">
        <v>0.0</v>
      </c>
      <c r="F64" s="22">
        <v>0.0</v>
      </c>
      <c r="G64" s="22">
        <v>0.0</v>
      </c>
      <c r="H64" s="22">
        <v>0.0</v>
      </c>
      <c r="I64" s="22">
        <v>0.0</v>
      </c>
      <c r="J64" s="25">
        <f t="shared" si="1"/>
        <v>1</v>
      </c>
      <c r="K64" s="23">
        <v>1.0</v>
      </c>
      <c r="L64" s="23">
        <v>0.0</v>
      </c>
      <c r="M64" s="25">
        <f t="shared" si="2"/>
        <v>1</v>
      </c>
      <c r="N64" s="23">
        <v>0.0</v>
      </c>
      <c r="O64" s="23">
        <v>0.0</v>
      </c>
      <c r="P64" s="23">
        <v>0.0</v>
      </c>
      <c r="Q64" s="23">
        <v>0.0</v>
      </c>
      <c r="R64" s="23">
        <v>0.0</v>
      </c>
      <c r="S64" s="26">
        <f t="shared" si="3"/>
        <v>0</v>
      </c>
      <c r="T64" s="23">
        <v>0.0</v>
      </c>
      <c r="U64" s="23">
        <v>0.0</v>
      </c>
      <c r="V64" s="23">
        <v>0.0</v>
      </c>
      <c r="W64" s="23">
        <v>0.0</v>
      </c>
      <c r="X64" s="26">
        <f t="shared" si="4"/>
        <v>0</v>
      </c>
    </row>
    <row r="65">
      <c r="A65" s="20" t="s">
        <v>86</v>
      </c>
      <c r="B65" s="21">
        <v>0.0</v>
      </c>
      <c r="C65" s="22">
        <v>0.0</v>
      </c>
      <c r="D65" s="22">
        <v>0.0</v>
      </c>
      <c r="E65" s="22">
        <v>0.0</v>
      </c>
      <c r="F65" s="22">
        <v>0.0</v>
      </c>
      <c r="G65" s="22">
        <v>0.0</v>
      </c>
      <c r="H65" s="22">
        <v>0.0</v>
      </c>
      <c r="I65" s="22">
        <v>0.0</v>
      </c>
      <c r="J65" s="25">
        <f t="shared" si="1"/>
        <v>0</v>
      </c>
      <c r="K65" s="23">
        <v>0.0</v>
      </c>
      <c r="L65" s="23">
        <v>0.0</v>
      </c>
      <c r="M65" s="25">
        <f t="shared" si="2"/>
        <v>0</v>
      </c>
      <c r="N65" s="23">
        <v>0.0</v>
      </c>
      <c r="O65" s="23">
        <v>0.0</v>
      </c>
      <c r="P65" s="23">
        <v>1.0</v>
      </c>
      <c r="Q65" s="23">
        <v>0.0</v>
      </c>
      <c r="R65" s="23">
        <v>0.0</v>
      </c>
      <c r="S65" s="26">
        <f t="shared" si="3"/>
        <v>1</v>
      </c>
      <c r="T65" s="23">
        <v>1.0</v>
      </c>
      <c r="U65" s="23">
        <v>0.0</v>
      </c>
      <c r="V65" s="23">
        <v>0.0</v>
      </c>
      <c r="W65" s="23">
        <v>0.0</v>
      </c>
      <c r="X65" s="26">
        <f t="shared" si="4"/>
        <v>1</v>
      </c>
    </row>
    <row r="66">
      <c r="A66" s="31" t="s">
        <v>13</v>
      </c>
      <c r="B66" s="35">
        <f t="shared" ref="B66:X66" si="5">SUM(B4:B65)</f>
        <v>306</v>
      </c>
      <c r="C66" s="35">
        <f t="shared" si="5"/>
        <v>21</v>
      </c>
      <c r="D66" s="35">
        <f t="shared" si="5"/>
        <v>248</v>
      </c>
      <c r="E66" s="35">
        <f t="shared" si="5"/>
        <v>0</v>
      </c>
      <c r="F66" s="35">
        <f t="shared" si="5"/>
        <v>2</v>
      </c>
      <c r="G66" s="35">
        <f t="shared" si="5"/>
        <v>0</v>
      </c>
      <c r="H66" s="35">
        <f t="shared" si="5"/>
        <v>35</v>
      </c>
      <c r="I66" s="35">
        <f t="shared" si="5"/>
        <v>0</v>
      </c>
      <c r="J66" s="35">
        <f t="shared" si="5"/>
        <v>306</v>
      </c>
      <c r="K66" s="35">
        <f t="shared" si="5"/>
        <v>286</v>
      </c>
      <c r="L66" s="35">
        <f t="shared" si="5"/>
        <v>20</v>
      </c>
      <c r="M66" s="35">
        <f t="shared" si="5"/>
        <v>306</v>
      </c>
      <c r="N66" s="35">
        <f t="shared" si="5"/>
        <v>60</v>
      </c>
      <c r="O66" s="35">
        <f t="shared" si="5"/>
        <v>102</v>
      </c>
      <c r="P66" s="35">
        <f t="shared" si="5"/>
        <v>50</v>
      </c>
      <c r="Q66" s="35">
        <f t="shared" si="5"/>
        <v>6</v>
      </c>
      <c r="R66" s="35">
        <f t="shared" si="5"/>
        <v>88</v>
      </c>
      <c r="S66" s="35">
        <f t="shared" si="5"/>
        <v>306</v>
      </c>
      <c r="T66" s="35">
        <f t="shared" si="5"/>
        <v>251</v>
      </c>
      <c r="U66" s="35">
        <f t="shared" si="5"/>
        <v>1</v>
      </c>
      <c r="V66" s="35">
        <f t="shared" si="5"/>
        <v>35</v>
      </c>
      <c r="W66" s="35">
        <f t="shared" si="5"/>
        <v>19</v>
      </c>
      <c r="X66" s="35">
        <f t="shared" si="5"/>
        <v>306</v>
      </c>
    </row>
    <row r="67">
      <c r="B67" s="38"/>
    </row>
    <row r="69">
      <c r="A69" s="39" t="s">
        <v>87</v>
      </c>
      <c r="B69">
        <f>ENERO!B66+FEBRERO!B66+MARZO!B66+ABRIL!B66+MAYO!B66+JUNIO!B66+JULIO!B66+AGOSTO!B66+SETIEMBRE!B66+OCTUBRE!B66+NOVIEMBRE!B66+B66</f>
        <v>7119</v>
      </c>
    </row>
  </sheetData>
  <customSheetViews>
    <customSheetView guid="{10672FFA-7158-4B7A-AC15-04BACC404E48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S2"/>
    <mergeCell ref="T1:X2"/>
  </mergeCells>
  <drawing r:id="rId1"/>
</worksheet>
</file>